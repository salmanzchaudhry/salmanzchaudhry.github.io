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vider_Source" sheetId="2" state="visible" r:id="rId2"/>
    <sheet name="Directory_Output" sheetId="3" state="visible" r:id="rId3"/>
    <sheet name="Audi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color rgb="000000FF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3" fillId="2" borderId="0" pivotButton="0" quotePrefix="0" xfId="0"/>
    <xf numFmtId="3" fontId="3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9C0006"/>
        <sz val="10"/>
      </font>
      <fill>
        <patternFill patternType="solid">
          <f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Provider_Source" displayName="Provider_Source" ref="A1:J201" headerRowCount="1">
  <autoFilter ref="A1:J201"/>
  <tableColumns count="10">
    <tableColumn id="1" name="NPI"/>
    <tableColumn id="2" name="Provider Name"/>
    <tableColumn id="3" name="Specialty"/>
    <tableColumn id="4" name="Address Line 1"/>
    <tableColumn id="5" name="City"/>
    <tableColumn id="6" name="State"/>
    <tableColumn id="7" name="Zip"/>
    <tableColumn id="8" name="Phone"/>
    <tableColumn id="9" name="Network Status"/>
    <tableColumn id="10" name="Accepting New Patients"/>
  </tableColumns>
  <tableStyleInfo name="TableStyleMedium2" showRowStripes="1"/>
</table>
</file>

<file path=xl/tables/table2.xml><?xml version="1.0" encoding="utf-8"?>
<table xmlns="http://schemas.openxmlformats.org/spreadsheetml/2006/main" id="2" name="Directory_Output" displayName="Directory_Output" ref="A1:J201" headerRowCount="1">
  <autoFilter ref="A1:J201"/>
  <tableColumns count="10">
    <tableColumn id="1" name="NPI"/>
    <tableColumn id="2" name="Provider Name"/>
    <tableColumn id="3" name="Specialty"/>
    <tableColumn id="4" name="Address Line 1"/>
    <tableColumn id="5" name="City"/>
    <tableColumn id="6" name="State"/>
    <tableColumn id="7" name="Zip"/>
    <tableColumn id="8" name="Phone"/>
    <tableColumn id="9" name="Network Status"/>
    <tableColumn id="10" name="Accepting New Pati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Provider Directory Accuracy Audit</t>
        </is>
      </c>
    </row>
    <row r="2">
      <c r="A2" s="2" t="inlineStr"/>
    </row>
    <row r="3">
      <c r="A3" s="1" t="inlineStr">
        <is>
          <t>WHY THIS MATTERS</t>
        </is>
      </c>
    </row>
    <row r="4">
      <c r="A4" s="2" t="inlineStr">
        <is>
          <t>Health plans are required to keep provider directories accurate. CMS national reviews have found that roughly half of provider</t>
        </is>
      </c>
    </row>
    <row r="5">
      <c r="A5" s="2" t="inlineStr">
        <is>
          <t>directory locations contain at least one inaccuracy, most commonly wrong phone numbers, incorrect addresses, or outdated patient</t>
        </is>
      </c>
    </row>
    <row r="6">
      <c r="A6" s="2" t="inlineStr">
        <is>
          <t>acceptance status. Under the No Surprises Act, plans must verify every provider record at least once every 90 days and process</t>
        </is>
      </c>
    </row>
    <row r="7">
      <c r="A7" s="2" t="inlineStr">
        <is>
          <t>updates within two business days. This project simulates that reconciliation process.</t>
        </is>
      </c>
    </row>
    <row r="8">
      <c r="A8" s="2" t="inlineStr"/>
    </row>
    <row r="9">
      <c r="A9" s="1" t="inlineStr">
        <is>
          <t>DATA SOURCES</t>
        </is>
      </c>
    </row>
    <row r="10">
      <c r="A10" s="2" t="inlineStr">
        <is>
          <t>Provider_Source: 200 individual providers (NPI-1) pulled from the CMS NPPES API for the Orlando, FL metro area on 2026-07-10.</t>
        </is>
      </c>
    </row>
    <row r="11">
      <c r="A11" s="2" t="inlineStr">
        <is>
          <t>Source of truth for provider name, specialty, practice address, and phone. Network status and patient acceptance are simulated</t>
        </is>
      </c>
    </row>
    <row r="12">
      <c r="A12" s="2" t="inlineStr">
        <is>
          <t>plan-side attributes. Directory_Output: a copy of the source data with realistic errors introduced into 18% of records across</t>
        </is>
      </c>
    </row>
    <row r="13">
      <c r="A13" s="2" t="inlineStr">
        <is>
          <t>five fields, matching the error types identified in CMS provider directory audits.</t>
        </is>
      </c>
    </row>
    <row r="14">
      <c r="A14" s="2" t="inlineStr"/>
    </row>
    <row r="15">
      <c r="A15" s="1" t="inlineStr">
        <is>
          <t>METHODOLOGY</t>
        </is>
      </c>
    </row>
    <row r="16">
      <c r="A16" s="2" t="inlineStr">
        <is>
          <t>1. Pulled 200 provider records from the NPPES API for the Orlando metro area.</t>
        </is>
      </c>
    </row>
    <row r="17">
      <c r="A17" s="2" t="inlineStr">
        <is>
          <t>2. Duplicated the dataset as the directory output and introduced errors into 36 of 200 records (18%) across five fields.</t>
        </is>
      </c>
    </row>
    <row r="18">
      <c r="A18" s="2" t="inlineStr">
        <is>
          <t>3. Audit sheet matches records between the two tables on NPI using XLOOKUP and flags mismatches field by field.</t>
        </is>
      </c>
    </row>
    <row r="19">
      <c r="A19" s="2" t="inlineStr">
        <is>
          <t>4. Conditional formatting highlights every discrepancy; the Summary sheet quantifies results with live formulas.</t>
        </is>
      </c>
    </row>
    <row r="20">
      <c r="A20" s="2" t="inlineStr">
        <is>
          <t>5. Import Provider_Source and Directory_Output into Power BI for the executive summary and work queue report pages.</t>
        </is>
      </c>
    </row>
    <row r="21">
      <c r="A21" s="2" t="inlineStr"/>
    </row>
    <row r="22">
      <c r="A22" s="1" t="inlineStr">
        <is>
          <t>KEY FINDINGS</t>
        </is>
      </c>
    </row>
    <row r="23">
      <c r="A23" s="2" t="inlineStr">
        <is>
          <t>- 36 of 200 provider records (18.0%) contained at least one discrepancy; 41 field-level errors in total.</t>
        </is>
      </c>
    </row>
    <row r="24">
      <c r="A24" s="2" t="inlineStr">
        <is>
          <t>- Phone numbers were the most common error (12 records), consistent with CMS audit findings, followed by</t>
        </is>
      </c>
    </row>
    <row r="25">
      <c r="A25" s="2" t="inlineStr">
        <is>
          <t xml:space="preserve">  addresses (9), patient acceptance status (9), specialty (6), and network status (5).</t>
        </is>
      </c>
    </row>
    <row r="26">
      <c r="A26" s="2" t="inlineStr">
        <is>
          <t>- Record-level accuracy of 82.0% outperforms the ~51% CMS national benchmark but still fails a zero-tolerance standard:</t>
        </is>
      </c>
    </row>
    <row r="27">
      <c r="A27" s="2" t="inlineStr">
        <is>
          <t xml:space="preserve">  at this error rate a 10,000-provider directory would carry ~1,800 inaccurate listings.</t>
        </is>
      </c>
    </row>
    <row r="28">
      <c r="A28" s="2" t="inlineStr">
        <is>
          <t>- Under the No Surprises Act two-business-day update requirement, the 36 flagged records form the operational work queue</t>
        </is>
      </c>
    </row>
    <row r="29">
      <c r="A29" s="2" t="inlineStr">
        <is>
          <t xml:space="preserve">  prioritized in the Power BI report by member impact (phone and address errors first).</t>
        </is>
      </c>
    </row>
    <row r="30">
      <c r="A30" s="2" t="inlineStr"/>
    </row>
    <row r="31">
      <c r="A31" s="1" t="inlineStr">
        <is>
          <t>TOOLS</t>
        </is>
      </c>
    </row>
    <row r="32">
      <c r="A32" s="2" t="inlineStr">
        <is>
          <t>Excel (NPPES API pull, XLOOKUP, conditional formatting, formula-driven summary) and Power BI (star schema, DAX).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30" customWidth="1" min="4" max="4"/>
    <col width="14" customWidth="1" min="5" max="5"/>
    <col width="7" customWidth="1" min="6" max="6"/>
    <col width="8" customWidth="1" min="7" max="7"/>
    <col width="14" customWidth="1" min="8" max="8"/>
    <col width="15" customWidth="1" min="9" max="9"/>
    <col width="12" customWidth="1" min="10" max="10"/>
  </cols>
  <sheetData>
    <row r="1">
      <c r="A1" s="3" t="inlineStr">
        <is>
          <t>NPI</t>
        </is>
      </c>
      <c r="B1" s="3" t="inlineStr">
        <is>
          <t>Provider Name</t>
        </is>
      </c>
      <c r="C1" s="3" t="inlineStr">
        <is>
          <t>Specialty</t>
        </is>
      </c>
      <c r="D1" s="3" t="inlineStr">
        <is>
          <t>Address Line 1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Zip</t>
        </is>
      </c>
      <c r="H1" s="3" t="inlineStr">
        <is>
          <t>Phone</t>
        </is>
      </c>
      <c r="I1" s="3" t="inlineStr">
        <is>
          <t>Network Status</t>
        </is>
      </c>
      <c r="J1" s="3" t="inlineStr">
        <is>
          <t>Accepting New Patients</t>
        </is>
      </c>
    </row>
    <row r="2">
      <c r="A2" s="4" t="n">
        <v>1104141738</v>
      </c>
      <c r="B2" s="4" t="inlineStr">
        <is>
          <t>Shadi 'Ashrafi, MD</t>
        </is>
      </c>
      <c r="C2" s="4" t="inlineStr">
        <is>
          <t>Student in an Organized Health Care Education/Training Program</t>
        </is>
      </c>
      <c r="D2" s="4" t="inlineStr">
        <is>
          <t>1414 Kuhl Ave</t>
        </is>
      </c>
      <c r="E2" s="4" t="inlineStr">
        <is>
          <t>Orlando</t>
        </is>
      </c>
      <c r="F2" s="4" t="inlineStr">
        <is>
          <t>FL</t>
        </is>
      </c>
      <c r="G2" s="4" t="inlineStr">
        <is>
          <t>32806</t>
        </is>
      </c>
      <c r="H2" s="4" t="inlineStr">
        <is>
          <t>321-841-8933</t>
        </is>
      </c>
      <c r="I2" s="4" t="inlineStr">
        <is>
          <t>In-Network</t>
        </is>
      </c>
      <c r="J2" s="4" t="inlineStr">
        <is>
          <t>Yes</t>
        </is>
      </c>
    </row>
    <row r="3">
      <c r="A3" s="4" t="n">
        <v>1013447317</v>
      </c>
      <c r="B3" s="4" t="inlineStr">
        <is>
          <t>Danielle Aaron, CRNP</t>
        </is>
      </c>
      <c r="C3" s="4" t="inlineStr">
        <is>
          <t>Nurse Practitioner, Women's Health</t>
        </is>
      </c>
      <c r="D3" s="4" t="inlineStr">
        <is>
          <t>139 Centre St Ph 120</t>
        </is>
      </c>
      <c r="E3" s="4" t="inlineStr">
        <is>
          <t>New York</t>
        </is>
      </c>
      <c r="F3" s="4" t="inlineStr">
        <is>
          <t>NY</t>
        </is>
      </c>
      <c r="G3" s="4" t="inlineStr">
        <is>
          <t>10013</t>
        </is>
      </c>
      <c r="H3" s="4" t="inlineStr">
        <is>
          <t>888-731-8994</t>
        </is>
      </c>
      <c r="I3" s="4" t="inlineStr">
        <is>
          <t>In-Network</t>
        </is>
      </c>
      <c r="J3" s="4" t="inlineStr">
        <is>
          <t>Yes</t>
        </is>
      </c>
    </row>
    <row r="4">
      <c r="A4" s="4" t="n">
        <v>1457770232</v>
      </c>
      <c r="B4" s="4" t="inlineStr">
        <is>
          <t>Grant Abadal, M.D.</t>
        </is>
      </c>
      <c r="C4" s="4" t="inlineStr">
        <is>
          <t>Radiology, Diagnostic Radiology</t>
        </is>
      </c>
      <c r="D4" s="4" t="inlineStr">
        <is>
          <t>1200 7Th Ave N</t>
        </is>
      </c>
      <c r="E4" s="4" t="inlineStr">
        <is>
          <t>St Petersburg</t>
        </is>
      </c>
      <c r="F4" s="4" t="inlineStr">
        <is>
          <t>FL</t>
        </is>
      </c>
      <c r="G4" s="4" t="inlineStr">
        <is>
          <t>33705</t>
        </is>
      </c>
      <c r="H4" s="4" t="inlineStr">
        <is>
          <t>727-825-1100</t>
        </is>
      </c>
      <c r="I4" s="4" t="inlineStr">
        <is>
          <t>In-Network</t>
        </is>
      </c>
      <c r="J4" s="4" t="inlineStr">
        <is>
          <t>Yes</t>
        </is>
      </c>
    </row>
    <row r="5">
      <c r="A5" s="4" t="n">
        <v>1093210858</v>
      </c>
      <c r="B5" s="4" t="inlineStr">
        <is>
          <t>Andrew Abadeer, MD</t>
        </is>
      </c>
      <c r="C5" s="4" t="inlineStr">
        <is>
          <t>Plastic Surgery</t>
        </is>
      </c>
      <c r="D5" s="4" t="inlineStr">
        <is>
          <t>2 Tampa General Cir</t>
        </is>
      </c>
      <c r="E5" s="4" t="inlineStr">
        <is>
          <t>Tampa</t>
        </is>
      </c>
      <c r="F5" s="4" t="inlineStr">
        <is>
          <t>FL</t>
        </is>
      </c>
      <c r="G5" s="4" t="inlineStr">
        <is>
          <t>33606</t>
        </is>
      </c>
      <c r="H5" s="4" t="inlineStr">
        <is>
          <t>813-821-8038</t>
        </is>
      </c>
      <c r="I5" s="4" t="inlineStr">
        <is>
          <t>In-Network</t>
        </is>
      </c>
      <c r="J5" s="4" t="inlineStr">
        <is>
          <t>Yes</t>
        </is>
      </c>
    </row>
    <row r="6">
      <c r="A6" s="4" t="n">
        <v>1043145873</v>
      </c>
      <c r="B6" s="4" t="inlineStr">
        <is>
          <t>Manuela Abadia Cadelo</t>
        </is>
      </c>
      <c r="C6" s="4" t="inlineStr">
        <is>
          <t>Behavior Technician</t>
        </is>
      </c>
      <c r="D6" s="4" t="inlineStr">
        <is>
          <t>2000 N Alafaya Trl</t>
        </is>
      </c>
      <c r="E6" s="4" t="inlineStr">
        <is>
          <t>Orlando</t>
        </is>
      </c>
      <c r="F6" s="4" t="inlineStr">
        <is>
          <t>FL</t>
        </is>
      </c>
      <c r="G6" s="4" t="inlineStr">
        <is>
          <t>32826</t>
        </is>
      </c>
      <c r="H6" s="4" t="inlineStr">
        <is>
          <t>888-518-8560</t>
        </is>
      </c>
      <c r="I6" s="4" t="inlineStr">
        <is>
          <t>In-Network</t>
        </is>
      </c>
      <c r="J6" s="4" t="inlineStr">
        <is>
          <t>Yes</t>
        </is>
      </c>
    </row>
    <row r="7">
      <c r="A7" s="4" t="n">
        <v>1346601572</v>
      </c>
      <c r="B7" s="4" t="inlineStr">
        <is>
          <t>Claudia Abalo</t>
        </is>
      </c>
      <c r="C7" s="4" t="inlineStr">
        <is>
          <t>Counselor, Mental Health</t>
        </is>
      </c>
      <c r="D7" s="4" t="inlineStr">
        <is>
          <t>1800 Mercy Dr</t>
        </is>
      </c>
      <c r="E7" s="4" t="inlineStr">
        <is>
          <t>Orlando</t>
        </is>
      </c>
      <c r="F7" s="4" t="inlineStr">
        <is>
          <t>FL</t>
        </is>
      </c>
      <c r="G7" s="4" t="inlineStr">
        <is>
          <t>32808</t>
        </is>
      </c>
      <c r="H7" s="4" t="inlineStr">
        <is>
          <t>407-875-3700</t>
        </is>
      </c>
      <c r="I7" s="4" t="inlineStr">
        <is>
          <t>In-Network</t>
        </is>
      </c>
      <c r="J7" s="4" t="inlineStr">
        <is>
          <t>Yes</t>
        </is>
      </c>
    </row>
    <row r="8">
      <c r="A8" s="4" t="n">
        <v>1902184138</v>
      </c>
      <c r="B8" s="4" t="inlineStr">
        <is>
          <t>Mona Abankwa, APN</t>
        </is>
      </c>
      <c r="C8" s="4" t="inlineStr">
        <is>
          <t>Nurse Practitioner, Family</t>
        </is>
      </c>
      <c r="D8" s="4" t="inlineStr">
        <is>
          <t>111 N Orange Ave Ste 800</t>
        </is>
      </c>
      <c r="E8" s="4" t="inlineStr">
        <is>
          <t>Orlando</t>
        </is>
      </c>
      <c r="F8" s="4" t="inlineStr">
        <is>
          <t>FL</t>
        </is>
      </c>
      <c r="G8" s="4" t="inlineStr">
        <is>
          <t>32801</t>
        </is>
      </c>
      <c r="H8" s="4" t="inlineStr">
        <is>
          <t>888-731-8994</t>
        </is>
      </c>
      <c r="I8" s="4" t="inlineStr">
        <is>
          <t>In-Network</t>
        </is>
      </c>
      <c r="J8" s="4" t="inlineStr">
        <is>
          <t>Yes</t>
        </is>
      </c>
    </row>
    <row r="9">
      <c r="A9" s="4" t="n">
        <v>1609109644</v>
      </c>
      <c r="B9" s="4" t="inlineStr">
        <is>
          <t>Kasey Abanonu, MD</t>
        </is>
      </c>
      <c r="C9" s="4" t="inlineStr">
        <is>
          <t>Internal Medicine</t>
        </is>
      </c>
      <c r="D9" s="4" t="inlineStr">
        <is>
          <t>4919 W Craig Rd</t>
        </is>
      </c>
      <c r="E9" s="4" t="inlineStr">
        <is>
          <t>Las Vegas</t>
        </is>
      </c>
      <c r="F9" s="4" t="inlineStr">
        <is>
          <t>NV</t>
        </is>
      </c>
      <c r="G9" s="4" t="inlineStr">
        <is>
          <t>89130</t>
        </is>
      </c>
      <c r="H9" s="4" t="inlineStr">
        <is>
          <t>725-220-8706</t>
        </is>
      </c>
      <c r="I9" s="4" t="inlineStr">
        <is>
          <t>In-Network</t>
        </is>
      </c>
      <c r="J9" s="4" t="inlineStr">
        <is>
          <t>Yes</t>
        </is>
      </c>
    </row>
    <row r="10">
      <c r="A10" s="4" t="n">
        <v>1104192426</v>
      </c>
      <c r="B10" s="4" t="inlineStr">
        <is>
          <t>John Abarca</t>
        </is>
      </c>
      <c r="C10" s="4" t="inlineStr">
        <is>
          <t>Physical Therapist</t>
        </is>
      </c>
      <c r="D10" s="4" t="inlineStr">
        <is>
          <t>12124 High Tech Ave</t>
        </is>
      </c>
      <c r="E10" s="4" t="inlineStr">
        <is>
          <t>Orlando</t>
        </is>
      </c>
      <c r="F10" s="4" t="inlineStr">
        <is>
          <t>FL</t>
        </is>
      </c>
      <c r="G10" s="4" t="inlineStr">
        <is>
          <t>32817</t>
        </is>
      </c>
      <c r="H10" s="4" t="inlineStr">
        <is>
          <t>800-774-7785</t>
        </is>
      </c>
      <c r="I10" s="4" t="inlineStr">
        <is>
          <t>In-Network</t>
        </is>
      </c>
      <c r="J10" s="4" t="inlineStr">
        <is>
          <t>Yes</t>
        </is>
      </c>
    </row>
    <row r="11">
      <c r="A11" s="4" t="n">
        <v>1275708141</v>
      </c>
      <c r="B11" s="4" t="inlineStr">
        <is>
          <t>Monica Abare, PA-C</t>
        </is>
      </c>
      <c r="C11" s="4" t="inlineStr">
        <is>
          <t>Physician Assistant</t>
        </is>
      </c>
      <c r="D11" s="4" t="inlineStr">
        <is>
          <t>818 Main Ln</t>
        </is>
      </c>
      <c r="E11" s="4" t="inlineStr">
        <is>
          <t>Orlando</t>
        </is>
      </c>
      <c r="F11" s="4" t="inlineStr">
        <is>
          <t>FL</t>
        </is>
      </c>
      <c r="G11" s="4" t="inlineStr">
        <is>
          <t>32801</t>
        </is>
      </c>
      <c r="H11" s="4" t="inlineStr">
        <is>
          <t>321-841-5212</t>
        </is>
      </c>
      <c r="I11" s="4" t="inlineStr">
        <is>
          <t>In-Network</t>
        </is>
      </c>
      <c r="J11" s="4" t="inlineStr">
        <is>
          <t>Yes</t>
        </is>
      </c>
    </row>
    <row r="12">
      <c r="A12" s="4" t="n">
        <v>1356064091</v>
      </c>
      <c r="B12" s="4" t="inlineStr">
        <is>
          <t>Arif Abass, Pharm.D.</t>
        </is>
      </c>
      <c r="C12" s="4" t="inlineStr">
        <is>
          <t>Pharmacist</t>
        </is>
      </c>
      <c r="D12" s="4" t="inlineStr">
        <is>
          <t>13800 Veterans Way</t>
        </is>
      </c>
      <c r="E12" s="4" t="inlineStr">
        <is>
          <t>Orlando</t>
        </is>
      </c>
      <c r="F12" s="4" t="inlineStr">
        <is>
          <t>FL</t>
        </is>
      </c>
      <c r="G12" s="4" t="inlineStr">
        <is>
          <t>32827</t>
        </is>
      </c>
      <c r="H12" s="4" t="inlineStr">
        <is>
          <t>407-631-2869</t>
        </is>
      </c>
      <c r="I12" s="4" t="inlineStr">
        <is>
          <t>In-Network</t>
        </is>
      </c>
      <c r="J12" s="4" t="inlineStr">
        <is>
          <t>Yes</t>
        </is>
      </c>
    </row>
    <row r="13">
      <c r="A13" s="4" t="n">
        <v>1295110765</v>
      </c>
      <c r="B13" s="4" t="inlineStr">
        <is>
          <t>Awad Abass, PA-C</t>
        </is>
      </c>
      <c r="C13" s="4" t="inlineStr">
        <is>
          <t>Physician Assistant, Medical</t>
        </is>
      </c>
      <c r="D13" s="4" t="inlineStr">
        <is>
          <t>89 W Copeland Dr</t>
        </is>
      </c>
      <c r="E13" s="4" t="inlineStr">
        <is>
          <t>Orlando</t>
        </is>
      </c>
      <c r="F13" s="4" t="inlineStr">
        <is>
          <t>FL</t>
        </is>
      </c>
      <c r="G13" s="4" t="inlineStr">
        <is>
          <t>32806</t>
        </is>
      </c>
      <c r="H13" s="4" t="inlineStr">
        <is>
          <t>321-841-7550</t>
        </is>
      </c>
      <c r="I13" s="4" t="inlineStr">
        <is>
          <t>In-Network</t>
        </is>
      </c>
      <c r="J13" s="4" t="inlineStr">
        <is>
          <t>Yes</t>
        </is>
      </c>
    </row>
    <row r="14">
      <c r="A14" s="4" t="n">
        <v>1184336869</v>
      </c>
      <c r="B14" s="4" t="inlineStr">
        <is>
          <t>Fawaz Abass, APRN, AGNP-C</t>
        </is>
      </c>
      <c r="C14" s="4" t="inlineStr">
        <is>
          <t>Nurse Practitioner</t>
        </is>
      </c>
      <c r="D14" s="4" t="inlineStr">
        <is>
          <t>1613 N Mills Ave</t>
        </is>
      </c>
      <c r="E14" s="4" t="inlineStr">
        <is>
          <t>Orlando</t>
        </is>
      </c>
      <c r="F14" s="4" t="inlineStr">
        <is>
          <t>FL</t>
        </is>
      </c>
      <c r="G14" s="4" t="inlineStr">
        <is>
          <t>32803</t>
        </is>
      </c>
      <c r="H14" s="4" t="inlineStr">
        <is>
          <t>407-894-4474</t>
        </is>
      </c>
      <c r="I14" s="4" t="inlineStr">
        <is>
          <t>Out-of-Network</t>
        </is>
      </c>
      <c r="J14" s="4" t="inlineStr">
        <is>
          <t>Yes</t>
        </is>
      </c>
    </row>
    <row r="15">
      <c r="A15" s="4" t="n">
        <v>1942722046</v>
      </c>
      <c r="B15" s="4" t="inlineStr">
        <is>
          <t>Brittany Abate</t>
        </is>
      </c>
      <c r="C15" s="4" t="inlineStr">
        <is>
          <t>Student in an Organized Health Care Education/Training Program</t>
        </is>
      </c>
      <c r="D15" s="4" t="inlineStr">
        <is>
          <t>12805 Pegasus Dr</t>
        </is>
      </c>
      <c r="E15" s="4" t="inlineStr">
        <is>
          <t>Orlando</t>
        </is>
      </c>
      <c r="F15" s="4" t="inlineStr">
        <is>
          <t>FL</t>
        </is>
      </c>
      <c r="G15" s="4" t="inlineStr">
        <is>
          <t>32816</t>
        </is>
      </c>
      <c r="H15" s="4" t="inlineStr">
        <is>
          <t>407-823-0171</t>
        </is>
      </c>
      <c r="I15" s="4" t="inlineStr">
        <is>
          <t>In-Network</t>
        </is>
      </c>
      <c r="J15" s="4" t="inlineStr">
        <is>
          <t>Yes</t>
        </is>
      </c>
    </row>
    <row r="16">
      <c r="A16" s="4" t="n">
        <v>1215449111</v>
      </c>
      <c r="B16" s="4" t="inlineStr">
        <is>
          <t>Noha Abaza, Pharm.D</t>
        </is>
      </c>
      <c r="C16" s="4" t="inlineStr">
        <is>
          <t>Pharmacist</t>
        </is>
      </c>
      <c r="D16" s="4" t="inlineStr">
        <is>
          <t>92 W Miller St</t>
        </is>
      </c>
      <c r="E16" s="4" t="inlineStr">
        <is>
          <t>Orlando</t>
        </is>
      </c>
      <c r="F16" s="4" t="inlineStr">
        <is>
          <t>FL</t>
        </is>
      </c>
      <c r="G16" s="4" t="inlineStr">
        <is>
          <t>32806</t>
        </is>
      </c>
      <c r="H16" s="4" t="inlineStr">
        <is>
          <t>321-841-1648</t>
        </is>
      </c>
      <c r="I16" s="4" t="inlineStr">
        <is>
          <t>In-Network</t>
        </is>
      </c>
      <c r="J16" s="4" t="inlineStr">
        <is>
          <t>Yes</t>
        </is>
      </c>
    </row>
    <row r="17">
      <c r="A17" s="4" t="n">
        <v>1033548383</v>
      </c>
      <c r="B17" s="4" t="inlineStr">
        <is>
          <t>Yasmin Abaza, M.D.</t>
        </is>
      </c>
      <c r="C17" s="4" t="inlineStr">
        <is>
          <t>Internal Medicine, Hematology &amp; Oncology</t>
        </is>
      </c>
      <c r="D17" s="4" t="inlineStr">
        <is>
          <t>675 N Saint Clair St Ste 21-100</t>
        </is>
      </c>
      <c r="E17" s="4" t="inlineStr">
        <is>
          <t>Chicago</t>
        </is>
      </c>
      <c r="F17" s="4" t="inlineStr">
        <is>
          <t>IL</t>
        </is>
      </c>
      <c r="G17" s="4" t="inlineStr">
        <is>
          <t>60611</t>
        </is>
      </c>
      <c r="H17" s="4" t="inlineStr">
        <is>
          <t>312-695-0990</t>
        </is>
      </c>
      <c r="I17" s="4" t="inlineStr">
        <is>
          <t>In-Network</t>
        </is>
      </c>
      <c r="J17" s="4" t="inlineStr">
        <is>
          <t>Yes</t>
        </is>
      </c>
    </row>
    <row r="18">
      <c r="A18" s="4" t="n">
        <v>1437511763</v>
      </c>
      <c r="B18" s="4" t="inlineStr">
        <is>
          <t>Erika Abbad</t>
        </is>
      </c>
      <c r="C18" s="4" t="inlineStr">
        <is>
          <t>Psychologist, Rehabilitation</t>
        </is>
      </c>
      <c r="D18" s="4" t="inlineStr">
        <is>
          <t>2547 N Alafaya Trl Apt 92</t>
        </is>
      </c>
      <c r="E18" s="4" t="inlineStr">
        <is>
          <t>Orlando</t>
        </is>
      </c>
      <c r="F18" s="4" t="inlineStr">
        <is>
          <t>FL</t>
        </is>
      </c>
      <c r="G18" s="4" t="inlineStr">
        <is>
          <t>32826</t>
        </is>
      </c>
      <c r="H18" s="4" t="inlineStr">
        <is>
          <t>407-435-2614</t>
        </is>
      </c>
      <c r="I18" s="4" t="inlineStr">
        <is>
          <t>In-Network</t>
        </is>
      </c>
      <c r="J18" s="4" t="inlineStr">
        <is>
          <t>No</t>
        </is>
      </c>
    </row>
    <row r="19">
      <c r="A19" s="4" t="n">
        <v>1497475891</v>
      </c>
      <c r="B19" s="4" t="inlineStr">
        <is>
          <t>Rana Abbas, RMHCI</t>
        </is>
      </c>
      <c r="C19" s="4" t="inlineStr">
        <is>
          <t>Counselor, Mental Health</t>
        </is>
      </c>
      <c r="D19" s="4" t="inlineStr">
        <is>
          <t>9942 Oak Quarry Dr</t>
        </is>
      </c>
      <c r="E19" s="4" t="inlineStr">
        <is>
          <t>Orlando</t>
        </is>
      </c>
      <c r="F19" s="4" t="inlineStr">
        <is>
          <t>FL</t>
        </is>
      </c>
      <c r="G19" s="4" t="inlineStr">
        <is>
          <t>32832</t>
        </is>
      </c>
      <c r="H19" s="4" t="inlineStr">
        <is>
          <t>407-603-6776</t>
        </is>
      </c>
      <c r="I19" s="4" t="inlineStr">
        <is>
          <t>In-Network</t>
        </is>
      </c>
      <c r="J19" s="4" t="inlineStr">
        <is>
          <t>Yes</t>
        </is>
      </c>
    </row>
    <row r="20">
      <c r="A20" s="4" t="n">
        <v>1699729723</v>
      </c>
      <c r="B20" s="4" t="inlineStr">
        <is>
          <t>Syed Abbas, md</t>
        </is>
      </c>
      <c r="C20" s="4" t="inlineStr">
        <is>
          <t>Internal Medicine, Cardiovascular Disease</t>
        </is>
      </c>
      <c r="D20" s="4" t="inlineStr">
        <is>
          <t>5201 Raymond St</t>
        </is>
      </c>
      <c r="E20" s="4" t="inlineStr">
        <is>
          <t>Orlando</t>
        </is>
      </c>
      <c r="F20" s="4" t="inlineStr">
        <is>
          <t>FL</t>
        </is>
      </c>
      <c r="G20" s="4" t="inlineStr">
        <is>
          <t>32803</t>
        </is>
      </c>
      <c r="H20" s="4" t="inlineStr">
        <is>
          <t>407-629-1599</t>
        </is>
      </c>
      <c r="I20" s="4" t="inlineStr">
        <is>
          <t>In-Network</t>
        </is>
      </c>
      <c r="J20" s="4" t="inlineStr">
        <is>
          <t>Yes</t>
        </is>
      </c>
    </row>
    <row r="21">
      <c r="A21" s="4" t="n">
        <v>1366517021</v>
      </c>
      <c r="B21" s="4" t="inlineStr">
        <is>
          <t>Syed Abbas, M.D.</t>
        </is>
      </c>
      <c r="C21" s="4" t="inlineStr">
        <is>
          <t>Psychiatry &amp; Neurology, Psychiatry</t>
        </is>
      </c>
      <c r="D21" s="4" t="inlineStr">
        <is>
          <t>1800 Mercy Dr</t>
        </is>
      </c>
      <c r="E21" s="4" t="inlineStr">
        <is>
          <t>Orlando</t>
        </is>
      </c>
      <c r="F21" s="4" t="inlineStr">
        <is>
          <t>FL</t>
        </is>
      </c>
      <c r="G21" s="4" t="inlineStr">
        <is>
          <t>32808</t>
        </is>
      </c>
      <c r="H21" s="4" t="inlineStr">
        <is>
          <t>407-875-3700</t>
        </is>
      </c>
      <c r="I21" s="4" t="inlineStr">
        <is>
          <t>In-Network</t>
        </is>
      </c>
      <c r="J21" s="4" t="inlineStr">
        <is>
          <t>Yes</t>
        </is>
      </c>
    </row>
    <row r="22">
      <c r="A22" s="4" t="n">
        <v>1710132139</v>
      </c>
      <c r="B22" s="4" t="inlineStr">
        <is>
          <t>Ammar Abbasi, MD</t>
        </is>
      </c>
      <c r="C22" s="4" t="inlineStr">
        <is>
          <t>Physical Medicine &amp; Rehabilitation</t>
        </is>
      </c>
      <c r="D22" s="4" t="inlineStr">
        <is>
          <t>8470 Cooper Creek Blvd</t>
        </is>
      </c>
      <c r="E22" s="4" t="inlineStr">
        <is>
          <t>University Park</t>
        </is>
      </c>
      <c r="F22" s="4" t="inlineStr">
        <is>
          <t>FL</t>
        </is>
      </c>
      <c r="G22" s="4" t="inlineStr">
        <is>
          <t>34201</t>
        </is>
      </c>
      <c r="H22" s="4" t="inlineStr">
        <is>
          <t>866-961-1744</t>
        </is>
      </c>
      <c r="I22" s="4" t="inlineStr">
        <is>
          <t>In-Network</t>
        </is>
      </c>
      <c r="J22" s="4" t="inlineStr">
        <is>
          <t>Yes</t>
        </is>
      </c>
    </row>
    <row r="23">
      <c r="A23" s="4" t="n">
        <v>1629040811</v>
      </c>
      <c r="B23" s="4" t="inlineStr">
        <is>
          <t>Patricia Abbitt, MD</t>
        </is>
      </c>
      <c r="C23" s="4" t="inlineStr">
        <is>
          <t>Radiology, Diagnostic Radiology</t>
        </is>
      </c>
      <c r="D23" s="4" t="inlineStr">
        <is>
          <t>1600 Sw Archer Rd</t>
        </is>
      </c>
      <c r="E23" s="4" t="inlineStr">
        <is>
          <t>Gainesville</t>
        </is>
      </c>
      <c r="F23" s="4" t="inlineStr">
        <is>
          <t>FL</t>
        </is>
      </c>
      <c r="G23" s="4" t="inlineStr">
        <is>
          <t>32610</t>
        </is>
      </c>
      <c r="H23" s="4" t="inlineStr">
        <is>
          <t>352-265-0291</t>
        </is>
      </c>
      <c r="I23" s="4" t="inlineStr">
        <is>
          <t>In-Network</t>
        </is>
      </c>
      <c r="J23" s="4" t="inlineStr">
        <is>
          <t>Yes</t>
        </is>
      </c>
    </row>
    <row r="24">
      <c r="A24" s="4" t="n">
        <v>1750886974</v>
      </c>
      <c r="B24" s="4" t="inlineStr">
        <is>
          <t>Ali Abbood, MD</t>
        </is>
      </c>
      <c r="C24" s="4" t="inlineStr">
        <is>
          <t>Internal Medicine, Cardiovascular Disease</t>
        </is>
      </c>
      <c r="D24" s="4" t="inlineStr">
        <is>
          <t>1222 S Orange Ave</t>
        </is>
      </c>
      <c r="E24" s="4" t="inlineStr">
        <is>
          <t>Orlando</t>
        </is>
      </c>
      <c r="F24" s="4" t="inlineStr">
        <is>
          <t>FL</t>
        </is>
      </c>
      <c r="G24" s="4" t="inlineStr">
        <is>
          <t>32806</t>
        </is>
      </c>
      <c r="H24" s="4" t="inlineStr">
        <is>
          <t>321-841-6444</t>
        </is>
      </c>
      <c r="I24" s="4" t="inlineStr">
        <is>
          <t>In-Network</t>
        </is>
      </c>
      <c r="J24" s="4" t="inlineStr">
        <is>
          <t>Yes</t>
        </is>
      </c>
    </row>
    <row r="25">
      <c r="A25" s="4" t="n">
        <v>1215413869</v>
      </c>
      <c r="B25" s="4" t="inlineStr">
        <is>
          <t>Hannah Abbott</t>
        </is>
      </c>
      <c r="C25" s="4" t="inlineStr">
        <is>
          <t xml:space="preserve">Speech-Language Pathologist,  </t>
        </is>
      </c>
      <c r="D25" s="4" t="inlineStr">
        <is>
          <t>201 Park Place Blvd</t>
        </is>
      </c>
      <c r="E25" s="4" t="inlineStr">
        <is>
          <t>Kissimmee</t>
        </is>
      </c>
      <c r="F25" s="4" t="inlineStr">
        <is>
          <t>FL</t>
        </is>
      </c>
      <c r="G25" s="4" t="inlineStr">
        <is>
          <t>34741</t>
        </is>
      </c>
      <c r="H25" s="4" t="inlineStr">
        <is>
          <t>800-378-7597</t>
        </is>
      </c>
      <c r="I25" s="4" t="inlineStr">
        <is>
          <t>In-Network</t>
        </is>
      </c>
      <c r="J25" s="4" t="inlineStr">
        <is>
          <t>Yes</t>
        </is>
      </c>
    </row>
    <row r="26">
      <c r="A26" s="4" t="n">
        <v>1568436418</v>
      </c>
      <c r="B26" s="4" t="inlineStr">
        <is>
          <t>Lionel Abbott, MD</t>
        </is>
      </c>
      <c r="C26" s="4" t="inlineStr">
        <is>
          <t>Internal Medicine, Nephrology</t>
        </is>
      </c>
      <c r="D26" s="4" t="inlineStr">
        <is>
          <t>3885 Oakwater Cir</t>
        </is>
      </c>
      <c r="E26" s="4" t="inlineStr">
        <is>
          <t>Orlando</t>
        </is>
      </c>
      <c r="F26" s="4" t="inlineStr">
        <is>
          <t>FL</t>
        </is>
      </c>
      <c r="G26" s="4" t="inlineStr">
        <is>
          <t>32806</t>
        </is>
      </c>
      <c r="H26" s="4" t="inlineStr">
        <is>
          <t>407-851-5600</t>
        </is>
      </c>
      <c r="I26" s="4" t="inlineStr">
        <is>
          <t>In-Network</t>
        </is>
      </c>
      <c r="J26" s="4" t="inlineStr">
        <is>
          <t>Yes</t>
        </is>
      </c>
    </row>
    <row r="27">
      <c r="A27" s="4" t="n">
        <v>1326243908</v>
      </c>
      <c r="B27" s="4" t="inlineStr">
        <is>
          <t>Alaa Abd El Rahman, M.D.</t>
        </is>
      </c>
      <c r="C27" s="4" t="inlineStr">
        <is>
          <t>Internal Medicine</t>
        </is>
      </c>
      <c r="D27" s="4" t="inlineStr">
        <is>
          <t>86 W Underwood St</t>
        </is>
      </c>
      <c r="E27" s="4" t="inlineStr">
        <is>
          <t>Orlando</t>
        </is>
      </c>
      <c r="F27" s="4" t="inlineStr">
        <is>
          <t>FL</t>
        </is>
      </c>
      <c r="G27" s="4" t="inlineStr">
        <is>
          <t>32806</t>
        </is>
      </c>
      <c r="H27" s="4" t="inlineStr">
        <is>
          <t>888-912-3648</t>
        </is>
      </c>
      <c r="I27" s="4" t="inlineStr">
        <is>
          <t>In-Network</t>
        </is>
      </c>
      <c r="J27" s="4" t="inlineStr">
        <is>
          <t>Yes</t>
        </is>
      </c>
    </row>
    <row r="28">
      <c r="A28" s="4" t="n">
        <v>1497702542</v>
      </c>
      <c r="B28" s="4" t="inlineStr">
        <is>
          <t>Adel Abdalla, M.D.</t>
        </is>
      </c>
      <c r="C28" s="4" t="inlineStr">
        <is>
          <t>Radiology, Diagnostic Radiology</t>
        </is>
      </c>
      <c r="D28" s="4" t="inlineStr">
        <is>
          <t>11253 S Apopka Vineland Rd</t>
        </is>
      </c>
      <c r="E28" s="4" t="inlineStr">
        <is>
          <t>Orlando</t>
        </is>
      </c>
      <c r="F28" s="4" t="inlineStr">
        <is>
          <t>FL</t>
        </is>
      </c>
      <c r="G28" s="4" t="inlineStr">
        <is>
          <t>32836</t>
        </is>
      </c>
      <c r="H28" s="4" t="inlineStr">
        <is>
          <t>407-745-1481</t>
        </is>
      </c>
      <c r="I28" s="4" t="inlineStr">
        <is>
          <t>In-Network</t>
        </is>
      </c>
      <c r="J28" s="4" t="inlineStr">
        <is>
          <t>No</t>
        </is>
      </c>
    </row>
    <row r="29">
      <c r="A29" s="4" t="n">
        <v>1124955497</v>
      </c>
      <c r="B29" s="4" t="inlineStr">
        <is>
          <t>Eshak Abdalla, DPT</t>
        </is>
      </c>
      <c r="C29" s="4" t="inlineStr">
        <is>
          <t>Physical Therapist</t>
        </is>
      </c>
      <c r="D29" s="4" t="inlineStr">
        <is>
          <t>2400 N Orange Blossom Trl Ste 201</t>
        </is>
      </c>
      <c r="E29" s="4" t="inlineStr">
        <is>
          <t>Kissimmee</t>
        </is>
      </c>
      <c r="F29" s="4" t="inlineStr">
        <is>
          <t>FL</t>
        </is>
      </c>
      <c r="G29" s="4" t="inlineStr">
        <is>
          <t>34744</t>
        </is>
      </c>
      <c r="H29" s="4" t="inlineStr">
        <is>
          <t>407-933-6684</t>
        </is>
      </c>
      <c r="I29" s="4" t="inlineStr">
        <is>
          <t>In-Network</t>
        </is>
      </c>
      <c r="J29" s="4" t="inlineStr">
        <is>
          <t>Yes</t>
        </is>
      </c>
    </row>
    <row r="30">
      <c r="A30" s="4" t="n">
        <v>1982100863</v>
      </c>
      <c r="B30" s="4" t="inlineStr">
        <is>
          <t>Reem Abdalla, MD</t>
        </is>
      </c>
      <c r="C30" s="4" t="inlineStr">
        <is>
          <t>Internal Medicine</t>
        </is>
      </c>
      <c r="D30" s="4" t="inlineStr">
        <is>
          <t>7243 Della Dr Ste K</t>
        </is>
      </c>
      <c r="E30" s="4" t="inlineStr">
        <is>
          <t>Orlando</t>
        </is>
      </c>
      <c r="F30" s="4" t="inlineStr">
        <is>
          <t>FL</t>
        </is>
      </c>
      <c r="G30" s="4" t="inlineStr">
        <is>
          <t>32819</t>
        </is>
      </c>
      <c r="H30" s="4" t="inlineStr">
        <is>
          <t>407-370-8705</t>
        </is>
      </c>
      <c r="I30" s="4" t="inlineStr">
        <is>
          <t>In-Network</t>
        </is>
      </c>
      <c r="J30" s="4" t="inlineStr">
        <is>
          <t>Yes</t>
        </is>
      </c>
    </row>
    <row r="31">
      <c r="A31" s="4" t="n">
        <v>1013229988</v>
      </c>
      <c r="B31" s="4" t="inlineStr">
        <is>
          <t>Abdel Kader Abdel Jaber, M.D.</t>
        </is>
      </c>
      <c r="C31" s="4" t="inlineStr">
        <is>
          <t>Pediatrics</t>
        </is>
      </c>
      <c r="D31" s="4" t="inlineStr">
        <is>
          <t>601 E Rollins St</t>
        </is>
      </c>
      <c r="E31" s="4" t="inlineStr">
        <is>
          <t>Orlando</t>
        </is>
      </c>
      <c r="F31" s="4" t="inlineStr">
        <is>
          <t>FL</t>
        </is>
      </c>
      <c r="G31" s="4" t="inlineStr">
        <is>
          <t>32803</t>
        </is>
      </c>
      <c r="H31" s="4" t="inlineStr">
        <is>
          <t>407-975-0412</t>
        </is>
      </c>
      <c r="I31" s="4" t="inlineStr">
        <is>
          <t>In-Network</t>
        </is>
      </c>
      <c r="J31" s="4" t="inlineStr">
        <is>
          <t>Yes</t>
        </is>
      </c>
    </row>
    <row r="32">
      <c r="A32" s="4" t="n">
        <v>1457004079</v>
      </c>
      <c r="B32" s="4" t="inlineStr">
        <is>
          <t>Dina Abdel Shafy</t>
        </is>
      </c>
      <c r="C32" s="4" t="inlineStr">
        <is>
          <t>Behavior Technician</t>
        </is>
      </c>
      <c r="D32" s="4" t="inlineStr">
        <is>
          <t>6000 Turkey Lake Rd Ste 114</t>
        </is>
      </c>
      <c r="E32" s="4" t="inlineStr">
        <is>
          <t>Orlando</t>
        </is>
      </c>
      <c r="F32" s="4" t="inlineStr">
        <is>
          <t>FL</t>
        </is>
      </c>
      <c r="G32" s="4" t="inlineStr">
        <is>
          <t>32819</t>
        </is>
      </c>
      <c r="H32" s="4" t="inlineStr">
        <is>
          <t>321-732-3723</t>
        </is>
      </c>
      <c r="I32" s="4" t="inlineStr">
        <is>
          <t>Out-of-Network</t>
        </is>
      </c>
      <c r="J32" s="4" t="inlineStr">
        <is>
          <t>Yes</t>
        </is>
      </c>
    </row>
    <row r="33">
      <c r="A33" s="4" t="n">
        <v>1821444761</v>
      </c>
      <c r="B33" s="4" t="inlineStr">
        <is>
          <t>Yassmeen Abdel-Aty, M.D.</t>
        </is>
      </c>
      <c r="C33" s="4" t="inlineStr">
        <is>
          <t>Otolaryngology, Plastic Surgery within the Head &amp; Neck</t>
        </is>
      </c>
      <c r="D33" s="4" t="inlineStr">
        <is>
          <t>13330 Usf Laurel Dr</t>
        </is>
      </c>
      <c r="E33" s="4" t="inlineStr">
        <is>
          <t>Tampa</t>
        </is>
      </c>
      <c r="F33" s="4" t="inlineStr">
        <is>
          <t>FL</t>
        </is>
      </c>
      <c r="G33" s="4" t="inlineStr">
        <is>
          <t>33612</t>
        </is>
      </c>
      <c r="H33" s="4" t="inlineStr">
        <is>
          <t>813-821-8038</t>
        </is>
      </c>
      <c r="I33" s="4" t="inlineStr">
        <is>
          <t>In-Network</t>
        </is>
      </c>
      <c r="J33" s="4" t="inlineStr">
        <is>
          <t>Yes</t>
        </is>
      </c>
    </row>
    <row r="34">
      <c r="A34" s="4" t="n">
        <v>1316169063</v>
      </c>
      <c r="B34" s="4" t="inlineStr">
        <is>
          <t>M. Abdel-Hameed, M.D</t>
        </is>
      </c>
      <c r="C34" s="4" t="inlineStr">
        <is>
          <t>Obstetrics &amp; Gynecology</t>
        </is>
      </c>
      <c r="D34" s="4" t="inlineStr">
        <is>
          <t>10086 Brandon Cir</t>
        </is>
      </c>
      <c r="E34" s="4" t="inlineStr">
        <is>
          <t>Orlando</t>
        </is>
      </c>
      <c r="F34" s="4" t="inlineStr">
        <is>
          <t>FL</t>
        </is>
      </c>
      <c r="G34" s="4" t="inlineStr">
        <is>
          <t>32836</t>
        </is>
      </c>
      <c r="H34" s="4" t="inlineStr">
        <is>
          <t>407-343-8002</t>
        </is>
      </c>
      <c r="I34" s="4" t="inlineStr">
        <is>
          <t>In-Network</t>
        </is>
      </c>
      <c r="J34" s="4" t="inlineStr">
        <is>
          <t>No</t>
        </is>
      </c>
    </row>
    <row r="35">
      <c r="A35" s="4" t="n">
        <v>1609377381</v>
      </c>
      <c r="B35" s="4" t="inlineStr">
        <is>
          <t>Besan Abdel-Khaleq, PharmD</t>
        </is>
      </c>
      <c r="C35" s="4" t="inlineStr">
        <is>
          <t>Pharmacist</t>
        </is>
      </c>
      <c r="D35" s="4" t="inlineStr">
        <is>
          <t>1961 Chathamoor Dr</t>
        </is>
      </c>
      <c r="E35" s="4" t="inlineStr">
        <is>
          <t>Orlando</t>
        </is>
      </c>
      <c r="F35" s="4" t="inlineStr">
        <is>
          <t>FL</t>
        </is>
      </c>
      <c r="G35" s="4" t="inlineStr">
        <is>
          <t>32835</t>
        </is>
      </c>
      <c r="H35" s="4" t="inlineStr">
        <is>
          <t>321-297-9696</t>
        </is>
      </c>
      <c r="I35" s="4" t="inlineStr">
        <is>
          <t>In-Network</t>
        </is>
      </c>
      <c r="J35" s="4" t="inlineStr">
        <is>
          <t>Yes</t>
        </is>
      </c>
    </row>
    <row r="36">
      <c r="A36" s="4" t="n">
        <v>1689880114</v>
      </c>
      <c r="B36" s="4" t="inlineStr">
        <is>
          <t>Marwa Abdelbary, DPT</t>
        </is>
      </c>
      <c r="C36" s="4" t="inlineStr">
        <is>
          <t>Physical Therapist</t>
        </is>
      </c>
      <c r="D36" s="4" t="inlineStr">
        <is>
          <t>3903 S Chickasaw Trl</t>
        </is>
      </c>
      <c r="E36" s="4" t="inlineStr">
        <is>
          <t>Orlando</t>
        </is>
      </c>
      <c r="F36" s="4" t="inlineStr">
        <is>
          <t>FL</t>
        </is>
      </c>
      <c r="G36" s="4" t="inlineStr">
        <is>
          <t>32829</t>
        </is>
      </c>
      <c r="H36" s="4" t="inlineStr">
        <is>
          <t>407-859-6374</t>
        </is>
      </c>
      <c r="I36" s="4" t="inlineStr">
        <is>
          <t>In-Network</t>
        </is>
      </c>
      <c r="J36" s="4" t="inlineStr">
        <is>
          <t>Yes</t>
        </is>
      </c>
    </row>
    <row r="37">
      <c r="A37" s="4" t="n">
        <v>1154997252</v>
      </c>
      <c r="B37" s="4" t="inlineStr">
        <is>
          <t>Mariam Abdelhalim, PSR</t>
        </is>
      </c>
      <c r="C37" s="4" t="inlineStr">
        <is>
          <t>Clinic/Center, Rehabilitation</t>
        </is>
      </c>
      <c r="D37" s="4" t="inlineStr">
        <is>
          <t>7550 Futures Dr Ste 104</t>
        </is>
      </c>
      <c r="E37" s="4" t="inlineStr">
        <is>
          <t>Orlando</t>
        </is>
      </c>
      <c r="F37" s="4" t="inlineStr">
        <is>
          <t>FL</t>
        </is>
      </c>
      <c r="G37" s="4" t="inlineStr">
        <is>
          <t>32819</t>
        </is>
      </c>
      <c r="H37" s="4" t="inlineStr">
        <is>
          <t>407-730-7983</t>
        </is>
      </c>
      <c r="I37" s="4" t="inlineStr">
        <is>
          <t>In-Network</t>
        </is>
      </c>
      <c r="J37" s="4" t="inlineStr">
        <is>
          <t>No</t>
        </is>
      </c>
    </row>
    <row r="38">
      <c r="A38" s="4" t="n">
        <v>1164855805</v>
      </c>
      <c r="B38" s="4" t="inlineStr">
        <is>
          <t>Khaled Abdelmagid, MD</t>
        </is>
      </c>
      <c r="C38" s="4" t="inlineStr">
        <is>
          <t>Pediatrics, Pediatric Cardiology</t>
        </is>
      </c>
      <c r="D38" s="4" t="inlineStr">
        <is>
          <t>92 W Miller St</t>
        </is>
      </c>
      <c r="E38" s="4" t="inlineStr">
        <is>
          <t>Orlando</t>
        </is>
      </c>
      <c r="F38" s="4" t="inlineStr">
        <is>
          <t>FL</t>
        </is>
      </c>
      <c r="G38" s="4" t="inlineStr">
        <is>
          <t>32806</t>
        </is>
      </c>
      <c r="H38" s="4" t="inlineStr">
        <is>
          <t>407-649-6907</t>
        </is>
      </c>
      <c r="I38" s="4" t="inlineStr">
        <is>
          <t>In-Network</t>
        </is>
      </c>
      <c r="J38" s="4" t="inlineStr">
        <is>
          <t>Yes</t>
        </is>
      </c>
    </row>
    <row r="39">
      <c r="A39" s="4" t="n">
        <v>1598644627</v>
      </c>
      <c r="B39" s="4" t="inlineStr">
        <is>
          <t>Rami Abdelmalek</t>
        </is>
      </c>
      <c r="C39" s="4" t="inlineStr">
        <is>
          <t>Pharmacist</t>
        </is>
      </c>
      <c r="D39" s="4" t="inlineStr">
        <is>
          <t>8337 Southpark Cir</t>
        </is>
      </c>
      <c r="E39" s="4" t="inlineStr">
        <is>
          <t>Orlando</t>
        </is>
      </c>
      <c r="F39" s="4" t="inlineStr">
        <is>
          <t>FL</t>
        </is>
      </c>
      <c r="G39" s="4" t="inlineStr">
        <is>
          <t>32819</t>
        </is>
      </c>
      <c r="H39" s="4" t="inlineStr">
        <is>
          <t>407-541-4960</t>
        </is>
      </c>
      <c r="I39" s="4" t="inlineStr">
        <is>
          <t>In-Network</t>
        </is>
      </c>
      <c r="J39" s="4" t="inlineStr">
        <is>
          <t>Yes</t>
        </is>
      </c>
    </row>
    <row r="40">
      <c r="A40" s="4" t="n">
        <v>1649311036</v>
      </c>
      <c r="B40" s="4" t="inlineStr">
        <is>
          <t>Zafir Abdelrahman, Rph</t>
        </is>
      </c>
      <c r="C40" s="4" t="inlineStr">
        <is>
          <t>Pharmacist, Geriatric</t>
        </is>
      </c>
      <c r="D40" s="4" t="inlineStr">
        <is>
          <t>13745 Huntwick Dr</t>
        </is>
      </c>
      <c r="E40" s="4" t="inlineStr">
        <is>
          <t>Orlando</t>
        </is>
      </c>
      <c r="F40" s="4" t="inlineStr">
        <is>
          <t>FL</t>
        </is>
      </c>
      <c r="G40" s="4" t="inlineStr">
        <is>
          <t>32837</t>
        </is>
      </c>
      <c r="H40" s="4" t="inlineStr">
        <is>
          <t>407-257-5585</t>
        </is>
      </c>
      <c r="I40" s="4" t="inlineStr">
        <is>
          <t>Out-of-Network</t>
        </is>
      </c>
      <c r="J40" s="4" t="inlineStr">
        <is>
          <t>Yes</t>
        </is>
      </c>
    </row>
    <row r="41">
      <c r="A41" s="4" t="n">
        <v>1396157657</v>
      </c>
      <c r="B41" s="4" t="inlineStr">
        <is>
          <t>Almatmed Abdelsalam, M.D.</t>
        </is>
      </c>
      <c r="C41" s="4" t="inlineStr">
        <is>
          <t>Hospitalist</t>
        </is>
      </c>
      <c r="D41" s="4" t="inlineStr">
        <is>
          <t>1350 Hickory St</t>
        </is>
      </c>
      <c r="E41" s="4" t="inlineStr">
        <is>
          <t>Melbourne</t>
        </is>
      </c>
      <c r="F41" s="4" t="inlineStr">
        <is>
          <t>FL</t>
        </is>
      </c>
      <c r="G41" s="4" t="inlineStr">
        <is>
          <t>32901</t>
        </is>
      </c>
      <c r="H41" s="4" t="inlineStr">
        <is>
          <t>321-434-1771</t>
        </is>
      </c>
      <c r="I41" s="4" t="inlineStr">
        <is>
          <t>In-Network</t>
        </is>
      </c>
      <c r="J41" s="4" t="inlineStr">
        <is>
          <t>Yes</t>
        </is>
      </c>
    </row>
    <row r="42">
      <c r="A42" s="4" t="n">
        <v>1326236407</v>
      </c>
      <c r="B42" s="4" t="inlineStr">
        <is>
          <t>Abdellatif Abdelwahab, M.D</t>
        </is>
      </c>
      <c r="C42" s="4" t="inlineStr">
        <is>
          <t>Pediatrics, Neonatal-Perinatal Medicine</t>
        </is>
      </c>
      <c r="D42" s="4" t="inlineStr">
        <is>
          <t>13535 Nemours Pkwy</t>
        </is>
      </c>
      <c r="E42" s="4" t="inlineStr">
        <is>
          <t>Orlando</t>
        </is>
      </c>
      <c r="F42" s="4" t="inlineStr">
        <is>
          <t>FL</t>
        </is>
      </c>
      <c r="G42" s="4" t="inlineStr">
        <is>
          <t>32827</t>
        </is>
      </c>
      <c r="H42" s="4" t="inlineStr">
        <is>
          <t>407-567-4000</t>
        </is>
      </c>
      <c r="I42" s="4" t="inlineStr">
        <is>
          <t>In-Network</t>
        </is>
      </c>
      <c r="J42" s="4" t="inlineStr">
        <is>
          <t>Yes</t>
        </is>
      </c>
    </row>
    <row r="43">
      <c r="A43" s="4" t="n">
        <v>1932866472</v>
      </c>
      <c r="B43" s="4" t="inlineStr">
        <is>
          <t>Nadia Abdi</t>
        </is>
      </c>
      <c r="C43" s="4" t="inlineStr">
        <is>
          <t>Behavior Technician</t>
        </is>
      </c>
      <c r="D43" s="4" t="inlineStr">
        <is>
          <t>1160 S Semoran Blvd</t>
        </is>
      </c>
      <c r="E43" s="4" t="inlineStr">
        <is>
          <t>Orlando</t>
        </is>
      </c>
      <c r="F43" s="4" t="inlineStr">
        <is>
          <t>FL</t>
        </is>
      </c>
      <c r="G43" s="4" t="inlineStr">
        <is>
          <t>32807</t>
        </is>
      </c>
      <c r="H43" s="4" t="inlineStr">
        <is>
          <t>844-244-1818</t>
        </is>
      </c>
      <c r="I43" s="4" t="inlineStr">
        <is>
          <t>In-Network</t>
        </is>
      </c>
      <c r="J43" s="4" t="inlineStr">
        <is>
          <t>No</t>
        </is>
      </c>
    </row>
    <row r="44">
      <c r="A44" s="4" t="n">
        <v>1568463347</v>
      </c>
      <c r="B44" s="4" t="inlineStr">
        <is>
          <t>Moufid-John Abdo, MD</t>
        </is>
      </c>
      <c r="C44" s="4" t="inlineStr">
        <is>
          <t>Otolaryngology</t>
        </is>
      </c>
      <c r="D44" s="4" t="inlineStr">
        <is>
          <t>1901 Floyd St</t>
        </is>
      </c>
      <c r="E44" s="4" t="inlineStr">
        <is>
          <t>Sarasota</t>
        </is>
      </c>
      <c r="F44" s="4" t="inlineStr">
        <is>
          <t>FL</t>
        </is>
      </c>
      <c r="G44" s="4" t="inlineStr">
        <is>
          <t>34239</t>
        </is>
      </c>
      <c r="H44" s="4" t="inlineStr">
        <is>
          <t>941-366-9222</t>
        </is>
      </c>
      <c r="I44" s="4" t="inlineStr">
        <is>
          <t>In-Network</t>
        </is>
      </c>
      <c r="J44" s="4" t="inlineStr">
        <is>
          <t>Yes</t>
        </is>
      </c>
    </row>
    <row r="45">
      <c r="A45" s="4" t="n">
        <v>1992178412</v>
      </c>
      <c r="B45" s="4" t="inlineStr">
        <is>
          <t>Samah Abdo</t>
        </is>
      </c>
      <c r="C45" s="4" t="inlineStr">
        <is>
          <t>Pharmacist</t>
        </is>
      </c>
      <c r="D45" s="4" t="inlineStr">
        <is>
          <t>2290 Premier Row</t>
        </is>
      </c>
      <c r="E45" s="4" t="inlineStr">
        <is>
          <t>Orlando</t>
        </is>
      </c>
      <c r="F45" s="4" t="inlineStr">
        <is>
          <t>FL</t>
        </is>
      </c>
      <c r="G45" s="4" t="inlineStr">
        <is>
          <t>32809</t>
        </is>
      </c>
      <c r="H45" s="4" t="inlineStr">
        <is>
          <t>407-453-6470</t>
        </is>
      </c>
      <c r="I45" s="4" t="inlineStr">
        <is>
          <t>Out-of-Network</t>
        </is>
      </c>
      <c r="J45" s="4" t="inlineStr">
        <is>
          <t>Yes</t>
        </is>
      </c>
    </row>
    <row r="46">
      <c r="A46" s="4" t="n">
        <v>1952237844</v>
      </c>
      <c r="B46" s="4" t="inlineStr">
        <is>
          <t>Aisha Abdool</t>
        </is>
      </c>
      <c r="C46" s="4" t="inlineStr">
        <is>
          <t>Student in an Organized Health Care Education/Training Program</t>
        </is>
      </c>
      <c r="D46" s="4" t="inlineStr">
        <is>
          <t>264 East Rollins Street, 6Th Floor</t>
        </is>
      </c>
      <c r="E46" s="4" t="inlineStr">
        <is>
          <t>Orlando</t>
        </is>
      </c>
      <c r="F46" s="4" t="inlineStr">
        <is>
          <t>FL</t>
        </is>
      </c>
      <c r="G46" s="4" t="inlineStr">
        <is>
          <t>32808</t>
        </is>
      </c>
      <c r="H46" s="4" t="inlineStr">
        <is>
          <t>407-303-6729</t>
        </is>
      </c>
      <c r="I46" s="4" t="inlineStr">
        <is>
          <t>In-Network</t>
        </is>
      </c>
      <c r="J46" s="4" t="inlineStr">
        <is>
          <t>Yes</t>
        </is>
      </c>
    </row>
    <row r="47">
      <c r="A47" s="4" t="n">
        <v>1376868315</v>
      </c>
      <c r="B47" s="4" t="inlineStr">
        <is>
          <t>Sasha Abdool, DC</t>
        </is>
      </c>
      <c r="C47" s="4" t="inlineStr">
        <is>
          <t>Chiropractor</t>
        </is>
      </c>
      <c r="D47" s="4" t="inlineStr">
        <is>
          <t>2053 Americana Blvd</t>
        </is>
      </c>
      <c r="E47" s="4" t="inlineStr">
        <is>
          <t>Orlando</t>
        </is>
      </c>
      <c r="F47" s="4" t="inlineStr">
        <is>
          <t>FL</t>
        </is>
      </c>
      <c r="G47" s="4" t="inlineStr">
        <is>
          <t>32839</t>
        </is>
      </c>
      <c r="H47" s="4" t="inlineStr">
        <is>
          <t>407-852-7046</t>
        </is>
      </c>
      <c r="I47" s="4" t="inlineStr">
        <is>
          <t>In-Network</t>
        </is>
      </c>
      <c r="J47" s="4" t="inlineStr">
        <is>
          <t>Yes</t>
        </is>
      </c>
    </row>
    <row r="48">
      <c r="A48" s="4" t="n">
        <v>1215133012</v>
      </c>
      <c r="B48" s="4" t="inlineStr">
        <is>
          <t>Firas Abdul, MD</t>
        </is>
      </c>
      <c r="C48" s="4" t="inlineStr">
        <is>
          <t>Anesthesiology</t>
        </is>
      </c>
      <c r="D48" s="4" t="inlineStr">
        <is>
          <t>62 Columbia St</t>
        </is>
      </c>
      <c r="E48" s="4" t="inlineStr">
        <is>
          <t>Orlando</t>
        </is>
      </c>
      <c r="F48" s="4" t="inlineStr">
        <is>
          <t>FL</t>
        </is>
      </c>
      <c r="G48" s="4" t="inlineStr">
        <is>
          <t>32806</t>
        </is>
      </c>
      <c r="H48" s="4" t="inlineStr">
        <is>
          <t>321-843-5851</t>
        </is>
      </c>
      <c r="I48" s="4" t="inlineStr">
        <is>
          <t>In-Network</t>
        </is>
      </c>
      <c r="J48" s="4" t="inlineStr">
        <is>
          <t>Yes</t>
        </is>
      </c>
    </row>
    <row r="49">
      <c r="A49" s="4" t="n">
        <v>1497437214</v>
      </c>
      <c r="B49" s="4" t="inlineStr">
        <is>
          <t>Alaa Abdul Ghani</t>
        </is>
      </c>
      <c r="C49" s="4" t="inlineStr">
        <is>
          <t>Pharmacist</t>
        </is>
      </c>
      <c r="D49" s="4" t="inlineStr">
        <is>
          <t>3502 Edgewater Dr</t>
        </is>
      </c>
      <c r="E49" s="4" t="inlineStr">
        <is>
          <t>Orlando</t>
        </is>
      </c>
      <c r="F49" s="4" t="inlineStr">
        <is>
          <t>FL</t>
        </is>
      </c>
      <c r="G49" s="4" t="inlineStr">
        <is>
          <t>32804</t>
        </is>
      </c>
      <c r="H49" s="4" t="inlineStr">
        <is>
          <t>407-245-1001</t>
        </is>
      </c>
      <c r="I49" s="4" t="inlineStr">
        <is>
          <t>In-Network</t>
        </is>
      </c>
      <c r="J49" s="4" t="inlineStr">
        <is>
          <t>Yes</t>
        </is>
      </c>
    </row>
    <row r="50">
      <c r="A50" s="4" t="n">
        <v>1780048397</v>
      </c>
      <c r="B50" s="4" t="inlineStr">
        <is>
          <t>Omer Abdul Hamid</t>
        </is>
      </c>
      <c r="C50" s="4" t="inlineStr">
        <is>
          <t>Psychiatry &amp; Neurology, Neurology with Special Qualifications in Child Neurology</t>
        </is>
      </c>
      <c r="D50" s="4" t="inlineStr">
        <is>
          <t>6535 Nemours Pkwy</t>
        </is>
      </c>
      <c r="E50" s="4" t="inlineStr">
        <is>
          <t>Orlando</t>
        </is>
      </c>
      <c r="F50" s="4" t="inlineStr">
        <is>
          <t>FL</t>
        </is>
      </c>
      <c r="G50" s="4" t="inlineStr">
        <is>
          <t>32827</t>
        </is>
      </c>
      <c r="H50" s="4" t="inlineStr">
        <is>
          <t>407-567-4000</t>
        </is>
      </c>
      <c r="I50" s="4" t="inlineStr">
        <is>
          <t>Out-of-Network</t>
        </is>
      </c>
      <c r="J50" s="4" t="inlineStr">
        <is>
          <t>Yes</t>
        </is>
      </c>
    </row>
    <row r="51">
      <c r="A51" s="4" t="n">
        <v>1154210060</v>
      </c>
      <c r="B51" s="4" t="inlineStr">
        <is>
          <t>Muhammad Awais Bin Abdul Malik, MD</t>
        </is>
      </c>
      <c r="C51" s="4" t="inlineStr">
        <is>
          <t>Student in an Organized Health Care Education/Training Program</t>
        </is>
      </c>
      <c r="D51" s="4" t="inlineStr">
        <is>
          <t>2501 N Orange Ave Ste 235</t>
        </is>
      </c>
      <c r="E51" s="4" t="inlineStr">
        <is>
          <t>Orlando</t>
        </is>
      </c>
      <c r="F51" s="4" t="inlineStr">
        <is>
          <t>FL</t>
        </is>
      </c>
      <c r="G51" s="4" t="inlineStr">
        <is>
          <t>32804</t>
        </is>
      </c>
      <c r="H51" s="4" t="inlineStr">
        <is>
          <t>407-303-7270</t>
        </is>
      </c>
      <c r="I51" s="4" t="inlineStr">
        <is>
          <t>Out-of-Network</t>
        </is>
      </c>
      <c r="J51" s="4" t="inlineStr">
        <is>
          <t>No</t>
        </is>
      </c>
    </row>
    <row r="52">
      <c r="A52" s="4" t="n">
        <v>1346279460</v>
      </c>
      <c r="B52" s="4" t="inlineStr">
        <is>
          <t>Basima Abdul-Razak, MD</t>
        </is>
      </c>
      <c r="C52" s="4" t="inlineStr">
        <is>
          <t>Pediatrics</t>
        </is>
      </c>
      <c r="D52" s="4" t="inlineStr">
        <is>
          <t>601 E Rollins St</t>
        </is>
      </c>
      <c r="E52" s="4" t="inlineStr">
        <is>
          <t>Orlando</t>
        </is>
      </c>
      <c r="F52" s="4" t="inlineStr">
        <is>
          <t>FL</t>
        </is>
      </c>
      <c r="G52" s="4" t="inlineStr">
        <is>
          <t>32803</t>
        </is>
      </c>
      <c r="H52" s="4" t="inlineStr">
        <is>
          <t>407-975-0412</t>
        </is>
      </c>
      <c r="I52" s="4" t="inlineStr">
        <is>
          <t>In-Network</t>
        </is>
      </c>
      <c r="J52" s="4" t="inlineStr">
        <is>
          <t>Yes</t>
        </is>
      </c>
    </row>
    <row r="53">
      <c r="A53" s="4" t="n">
        <v>1386240471</v>
      </c>
      <c r="B53" s="4" t="inlineStr">
        <is>
          <t>Mohammed Abdulahi, phrmacist</t>
        </is>
      </c>
      <c r="C53" s="4" t="inlineStr">
        <is>
          <t>Pharmacist</t>
        </is>
      </c>
      <c r="D53" s="4" t="inlineStr">
        <is>
          <t>7451 E Colonial Dr</t>
        </is>
      </c>
      <c r="E53" s="4" t="inlineStr">
        <is>
          <t>Orlando</t>
        </is>
      </c>
      <c r="F53" s="4" t="inlineStr">
        <is>
          <t>FL</t>
        </is>
      </c>
      <c r="G53" s="4" t="inlineStr">
        <is>
          <t>32807</t>
        </is>
      </c>
      <c r="H53" s="4" t="inlineStr">
        <is>
          <t>407-281-1876</t>
        </is>
      </c>
      <c r="I53" s="4" t="inlineStr">
        <is>
          <t>In-Network</t>
        </is>
      </c>
      <c r="J53" s="4" t="inlineStr">
        <is>
          <t>Yes</t>
        </is>
      </c>
    </row>
    <row r="54">
      <c r="A54" s="4" t="n">
        <v>1861620601</v>
      </c>
      <c r="B54" s="4" t="inlineStr">
        <is>
          <t>Asif Abdullah, M.D.</t>
        </is>
      </c>
      <c r="C54" s="4" t="inlineStr">
        <is>
          <t>Radiology, Diagnostic Radiology</t>
        </is>
      </c>
      <c r="D54" s="4" t="inlineStr">
        <is>
          <t>2502 S Union Ave</t>
        </is>
      </c>
      <c r="E54" s="4" t="inlineStr">
        <is>
          <t>Tacoma</t>
        </is>
      </c>
      <c r="F54" s="4" t="inlineStr">
        <is>
          <t>WA</t>
        </is>
      </c>
      <c r="G54" s="4" t="inlineStr">
        <is>
          <t>98405</t>
        </is>
      </c>
      <c r="H54" s="4" t="inlineStr">
        <is>
          <t>253-841-4653</t>
        </is>
      </c>
      <c r="I54" s="4" t="inlineStr">
        <is>
          <t>In-Network</t>
        </is>
      </c>
      <c r="J54" s="4" t="inlineStr">
        <is>
          <t>Yes</t>
        </is>
      </c>
    </row>
    <row r="55">
      <c r="A55" s="4" t="n">
        <v>1780316307</v>
      </c>
      <c r="B55" s="4" t="inlineStr">
        <is>
          <t>Eamon Abdullah, MD</t>
        </is>
      </c>
      <c r="C55" s="4" t="inlineStr">
        <is>
          <t>Emergency Medicine</t>
        </is>
      </c>
      <c r="D55" s="4" t="inlineStr">
        <is>
          <t>2100 Ocoee Apopka Rd</t>
        </is>
      </c>
      <c r="E55" s="4" t="inlineStr">
        <is>
          <t>Apopka</t>
        </is>
      </c>
      <c r="F55" s="4" t="inlineStr">
        <is>
          <t>FL</t>
        </is>
      </c>
      <c r="G55" s="4" t="inlineStr">
        <is>
          <t>32703</t>
        </is>
      </c>
      <c r="H55" s="4" t="inlineStr">
        <is>
          <t>407-609-7000</t>
        </is>
      </c>
      <c r="I55" s="4" t="inlineStr">
        <is>
          <t>In-Network</t>
        </is>
      </c>
      <c r="J55" s="4" t="inlineStr">
        <is>
          <t>Yes</t>
        </is>
      </c>
    </row>
    <row r="56">
      <c r="A56" s="4" t="n">
        <v>1467318568</v>
      </c>
      <c r="B56" s="4" t="inlineStr">
        <is>
          <t>Mohammad Abdullah</t>
        </is>
      </c>
      <c r="C56" s="4" t="inlineStr">
        <is>
          <t>Pharmacist</t>
        </is>
      </c>
      <c r="D56" s="4" t="inlineStr">
        <is>
          <t>4300 Curry Ford Rd</t>
        </is>
      </c>
      <c r="E56" s="4" t="inlineStr">
        <is>
          <t>Orlando</t>
        </is>
      </c>
      <c r="F56" s="4" t="inlineStr">
        <is>
          <t>FL</t>
        </is>
      </c>
      <c r="G56" s="4" t="inlineStr">
        <is>
          <t>32806</t>
        </is>
      </c>
      <c r="H56" s="4" t="inlineStr">
        <is>
          <t>407-281-7499</t>
        </is>
      </c>
      <c r="I56" s="4" t="inlineStr">
        <is>
          <t>In-Network</t>
        </is>
      </c>
      <c r="J56" s="4" t="inlineStr">
        <is>
          <t>No</t>
        </is>
      </c>
    </row>
    <row r="57">
      <c r="A57" s="4" t="n">
        <v>1780056226</v>
      </c>
      <c r="B57" s="4" t="inlineStr">
        <is>
          <t>Nina Abdullah, M.A.</t>
        </is>
      </c>
      <c r="C57" s="4" t="inlineStr">
        <is>
          <t>Marriage &amp; Family Therapist</t>
        </is>
      </c>
      <c r="D57" s="4" t="inlineStr">
        <is>
          <t>201 W Plymouth Ave</t>
        </is>
      </c>
      <c r="E57" s="4" t="inlineStr">
        <is>
          <t>Deland</t>
        </is>
      </c>
      <c r="F57" s="4" t="inlineStr">
        <is>
          <t>FL</t>
        </is>
      </c>
      <c r="G57" s="4" t="inlineStr">
        <is>
          <t>32720</t>
        </is>
      </c>
      <c r="H57" s="4" t="inlineStr">
        <is>
          <t>386-402-5169</t>
        </is>
      </c>
      <c r="I57" s="4" t="inlineStr">
        <is>
          <t>In-Network</t>
        </is>
      </c>
      <c r="J57" s="4" t="inlineStr">
        <is>
          <t>Yes</t>
        </is>
      </c>
    </row>
    <row r="58">
      <c r="A58" s="4" t="n">
        <v>1023429255</v>
      </c>
      <c r="B58" s="4" t="inlineStr">
        <is>
          <t>Ajmal Abed, DMD</t>
        </is>
      </c>
      <c r="C58" s="4" t="inlineStr">
        <is>
          <t>Dentist</t>
        </is>
      </c>
      <c r="D58" s="4" t="inlineStr">
        <is>
          <t>13132 Paloma Dr</t>
        </is>
      </c>
      <c r="E58" s="4" t="inlineStr">
        <is>
          <t>Orlando</t>
        </is>
      </c>
      <c r="F58" s="4" t="inlineStr">
        <is>
          <t>FL</t>
        </is>
      </c>
      <c r="G58" s="4" t="inlineStr">
        <is>
          <t>32837</t>
        </is>
      </c>
      <c r="H58" s="4" t="inlineStr">
        <is>
          <t>407-883-9414</t>
        </is>
      </c>
      <c r="I58" s="4" t="inlineStr">
        <is>
          <t>In-Network</t>
        </is>
      </c>
      <c r="J58" s="4" t="inlineStr">
        <is>
          <t>Yes</t>
        </is>
      </c>
    </row>
    <row r="59">
      <c r="A59" s="4" t="n">
        <v>1902432347</v>
      </c>
      <c r="B59" s="4" t="inlineStr">
        <is>
          <t>Alicia Abel, APRN</t>
        </is>
      </c>
      <c r="C59" s="4" t="inlineStr">
        <is>
          <t>Nurse Practitioner, Family</t>
        </is>
      </c>
      <c r="D59" s="4" t="inlineStr">
        <is>
          <t>8701 Maitland Summit Blvd</t>
        </is>
      </c>
      <c r="E59" s="4" t="inlineStr">
        <is>
          <t>Orlando</t>
        </is>
      </c>
      <c r="F59" s="4" t="inlineStr">
        <is>
          <t>FL</t>
        </is>
      </c>
      <c r="G59" s="4" t="inlineStr">
        <is>
          <t>32810</t>
        </is>
      </c>
      <c r="H59" s="4" t="inlineStr">
        <is>
          <t>407-200-2759</t>
        </is>
      </c>
      <c r="I59" s="4" t="inlineStr">
        <is>
          <t>Out-of-Network</t>
        </is>
      </c>
      <c r="J59" s="4" t="inlineStr">
        <is>
          <t>No</t>
        </is>
      </c>
    </row>
    <row r="60">
      <c r="A60" s="4" t="n">
        <v>1487855128</v>
      </c>
      <c r="B60" s="4" t="inlineStr">
        <is>
          <t>Erika Abel, MD</t>
        </is>
      </c>
      <c r="C60" s="4" t="inlineStr">
        <is>
          <t>Hospitalist</t>
        </is>
      </c>
      <c r="D60" s="4" t="inlineStr">
        <is>
          <t>5 Tampa General Cir # 750</t>
        </is>
      </c>
      <c r="E60" s="4" t="inlineStr">
        <is>
          <t>Tampa</t>
        </is>
      </c>
      <c r="F60" s="4" t="inlineStr">
        <is>
          <t>FL</t>
        </is>
      </c>
      <c r="G60" s="4" t="inlineStr">
        <is>
          <t>33606</t>
        </is>
      </c>
      <c r="H60" s="4" t="inlineStr">
        <is>
          <t>813-259-0670</t>
        </is>
      </c>
      <c r="I60" s="4" t="inlineStr">
        <is>
          <t>In-Network</t>
        </is>
      </c>
      <c r="J60" s="4" t="inlineStr">
        <is>
          <t>Yes</t>
        </is>
      </c>
    </row>
    <row r="61">
      <c r="A61" s="4" t="n">
        <v>1497994479</v>
      </c>
      <c r="B61" s="4" t="inlineStr">
        <is>
          <t>Gena Abel</t>
        </is>
      </c>
      <c r="C61" s="4" t="inlineStr">
        <is>
          <t>Counselor</t>
        </is>
      </c>
      <c r="D61" s="4" t="inlineStr">
        <is>
          <t>1800 Mercy Dr</t>
        </is>
      </c>
      <c r="E61" s="4" t="inlineStr">
        <is>
          <t>Orlando</t>
        </is>
      </c>
      <c r="F61" s="4" t="inlineStr">
        <is>
          <t>FL</t>
        </is>
      </c>
      <c r="G61" s="4" t="inlineStr">
        <is>
          <t>32808</t>
        </is>
      </c>
      <c r="H61" s="4" t="inlineStr">
        <is>
          <t>407-875-3700</t>
        </is>
      </c>
      <c r="I61" s="4" t="inlineStr">
        <is>
          <t>In-Network</t>
        </is>
      </c>
      <c r="J61" s="4" t="inlineStr">
        <is>
          <t>Yes</t>
        </is>
      </c>
    </row>
    <row r="62">
      <c r="A62" s="4" t="n">
        <v>1831118413</v>
      </c>
      <c r="B62" s="4" t="inlineStr">
        <is>
          <t>Naomi Abel, MD</t>
        </is>
      </c>
      <c r="C62" s="4" t="inlineStr">
        <is>
          <t>Physical Medicine &amp; Rehabilitation</t>
        </is>
      </c>
      <c r="D62" s="4" t="inlineStr">
        <is>
          <t>12901 Bruce B Downs Blvd</t>
        </is>
      </c>
      <c r="E62" s="4" t="inlineStr">
        <is>
          <t>Tampa</t>
        </is>
      </c>
      <c r="F62" s="4" t="inlineStr">
        <is>
          <t>FL</t>
        </is>
      </c>
      <c r="G62" s="4" t="inlineStr">
        <is>
          <t>33612</t>
        </is>
      </c>
      <c r="H62" s="4" t="inlineStr">
        <is>
          <t>813-259-0944</t>
        </is>
      </c>
      <c r="I62" s="4" t="inlineStr">
        <is>
          <t>In-Network</t>
        </is>
      </c>
      <c r="J62" s="4" t="inlineStr">
        <is>
          <t>Yes</t>
        </is>
      </c>
    </row>
    <row r="63">
      <c r="A63" s="4" t="n">
        <v>1679593057</v>
      </c>
      <c r="B63" s="4" t="inlineStr">
        <is>
          <t>Vilmar Abelardo, MD</t>
        </is>
      </c>
      <c r="C63" s="4" t="inlineStr">
        <is>
          <t>Hospitalist</t>
        </is>
      </c>
      <c r="D63" s="4" t="inlineStr">
        <is>
          <t>1414 Kuhl Ave</t>
        </is>
      </c>
      <c r="E63" s="4" t="inlineStr">
        <is>
          <t>Orlando</t>
        </is>
      </c>
      <c r="F63" s="4" t="inlineStr">
        <is>
          <t>FL</t>
        </is>
      </c>
      <c r="G63" s="4" t="inlineStr">
        <is>
          <t>32806</t>
        </is>
      </c>
      <c r="H63" s="4" t="inlineStr">
        <is>
          <t>407-464-9516</t>
        </is>
      </c>
      <c r="I63" s="4" t="inlineStr">
        <is>
          <t>In-Network</t>
        </is>
      </c>
      <c r="J63" s="4" t="inlineStr">
        <is>
          <t>Yes</t>
        </is>
      </c>
    </row>
    <row r="64">
      <c r="A64" s="4" t="n">
        <v>1528180981</v>
      </c>
      <c r="B64" s="4" t="inlineStr">
        <is>
          <t>Juan Abellon, M.D.</t>
        </is>
      </c>
      <c r="C64" s="4" t="inlineStr">
        <is>
          <t>Pediatrics</t>
        </is>
      </c>
      <c r="D64" s="4" t="inlineStr">
        <is>
          <t>5900 S. John Young Pkwy</t>
        </is>
      </c>
      <c r="E64" s="4" t="inlineStr">
        <is>
          <t>Orlando</t>
        </is>
      </c>
      <c r="F64" s="4" t="inlineStr">
        <is>
          <t>FL</t>
        </is>
      </c>
      <c r="G64" s="4" t="inlineStr">
        <is>
          <t>32839</t>
        </is>
      </c>
      <c r="H64" s="4" t="inlineStr">
        <is>
          <t>407-398-6470</t>
        </is>
      </c>
      <c r="I64" s="4" t="inlineStr">
        <is>
          <t>In-Network</t>
        </is>
      </c>
      <c r="J64" s="4" t="inlineStr">
        <is>
          <t>Yes</t>
        </is>
      </c>
    </row>
    <row r="65">
      <c r="A65" s="4" t="n">
        <v>1356668628</v>
      </c>
      <c r="B65" s="4" t="inlineStr">
        <is>
          <t>Sheryl Abelmann, DPT</t>
        </is>
      </c>
      <c r="C65" s="4" t="inlineStr">
        <is>
          <t>Physical Therapist</t>
        </is>
      </c>
      <c r="D65" s="4" t="inlineStr">
        <is>
          <t>6000 Turkey Lake Rd Ste 114</t>
        </is>
      </c>
      <c r="E65" s="4" t="inlineStr">
        <is>
          <t>Orlando</t>
        </is>
      </c>
      <c r="F65" s="4" t="inlineStr">
        <is>
          <t>FL</t>
        </is>
      </c>
      <c r="G65" s="4" t="inlineStr">
        <is>
          <t>32819</t>
        </is>
      </c>
      <c r="H65" s="4" t="inlineStr">
        <is>
          <t>321-347-8419</t>
        </is>
      </c>
      <c r="I65" s="4" t="inlineStr">
        <is>
          <t>In-Network</t>
        </is>
      </c>
      <c r="J65" s="4" t="inlineStr">
        <is>
          <t>No</t>
        </is>
      </c>
    </row>
    <row r="66">
      <c r="A66" s="4" t="n">
        <v>1205266434</v>
      </c>
      <c r="B66" s="4" t="inlineStr">
        <is>
          <t>Julius Abenina</t>
        </is>
      </c>
      <c r="C66" s="4" t="inlineStr">
        <is>
          <t>Physician Assistant</t>
        </is>
      </c>
      <c r="D66" s="4" t="inlineStr">
        <is>
          <t>325 Cypress Pkwy</t>
        </is>
      </c>
      <c r="E66" s="4" t="inlineStr">
        <is>
          <t>Kissimmee</t>
        </is>
      </c>
      <c r="F66" s="4" t="inlineStr">
        <is>
          <t>FL</t>
        </is>
      </c>
      <c r="G66" s="4" t="inlineStr">
        <is>
          <t>34759</t>
        </is>
      </c>
      <c r="H66" s="4" t="inlineStr">
        <is>
          <t>407-530-2000</t>
        </is>
      </c>
      <c r="I66" s="4" t="inlineStr">
        <is>
          <t>In-Network</t>
        </is>
      </c>
      <c r="J66" s="4" t="inlineStr">
        <is>
          <t>No</t>
        </is>
      </c>
    </row>
    <row r="67">
      <c r="A67" s="4" t="n">
        <v>1861762718</v>
      </c>
      <c r="B67" s="4" t="inlineStr">
        <is>
          <t>Lisa Abern, PHMNP-BC, APRN</t>
        </is>
      </c>
      <c r="C67" s="4" t="inlineStr">
        <is>
          <t>Nurse Practitioner, Psych/Mental Health</t>
        </is>
      </c>
      <c r="D67" s="4" t="inlineStr">
        <is>
          <t>1060 Woodcock Rd</t>
        </is>
      </c>
      <c r="E67" s="4" t="inlineStr">
        <is>
          <t>Orlando</t>
        </is>
      </c>
      <c r="F67" s="4" t="inlineStr">
        <is>
          <t>FL</t>
        </is>
      </c>
      <c r="G67" s="4" t="inlineStr">
        <is>
          <t>32803</t>
        </is>
      </c>
      <c r="H67" s="4" t="inlineStr">
        <is>
          <t>954-994-1312</t>
        </is>
      </c>
      <c r="I67" s="4" t="inlineStr">
        <is>
          <t>In-Network</t>
        </is>
      </c>
      <c r="J67" s="4" t="inlineStr">
        <is>
          <t>Yes</t>
        </is>
      </c>
    </row>
    <row r="68">
      <c r="A68" s="4" t="n">
        <v>1619653607</v>
      </c>
      <c r="B68" s="4" t="inlineStr">
        <is>
          <t>Alexis Abernathy</t>
        </is>
      </c>
      <c r="C68" s="4" t="inlineStr">
        <is>
          <t>Optometrist</t>
        </is>
      </c>
      <c r="D68" s="4" t="inlineStr">
        <is>
          <t>7912 Forest City Rd</t>
        </is>
      </c>
      <c r="E68" s="4" t="inlineStr">
        <is>
          <t>Orlando</t>
        </is>
      </c>
      <c r="F68" s="4" t="inlineStr">
        <is>
          <t>FL</t>
        </is>
      </c>
      <c r="G68" s="4" t="inlineStr">
        <is>
          <t>32810</t>
        </is>
      </c>
      <c r="H68" s="4" t="inlineStr">
        <is>
          <t>407-905-8827</t>
        </is>
      </c>
      <c r="I68" s="4" t="inlineStr">
        <is>
          <t>In-Network</t>
        </is>
      </c>
      <c r="J68" s="4" t="inlineStr">
        <is>
          <t>No</t>
        </is>
      </c>
    </row>
    <row r="69">
      <c r="A69" s="4" t="n">
        <v>1679455489</v>
      </c>
      <c r="B69" s="4" t="inlineStr">
        <is>
          <t>Ashton Abernathy, PTA</t>
        </is>
      </c>
      <c r="C69" s="4" t="inlineStr">
        <is>
          <t>Physical Therapy Assistant</t>
        </is>
      </c>
      <c r="D69" s="4" t="inlineStr">
        <is>
          <t>1441 Winter Garden Vineland Rd</t>
        </is>
      </c>
      <c r="E69" s="4" t="inlineStr">
        <is>
          <t>Winter Garden</t>
        </is>
      </c>
      <c r="F69" s="4" t="inlineStr">
        <is>
          <t>FL</t>
        </is>
      </c>
      <c r="G69" s="4" t="inlineStr">
        <is>
          <t>34787</t>
        </is>
      </c>
      <c r="H69" s="4" t="inlineStr">
        <is>
          <t>407-904-0135</t>
        </is>
      </c>
      <c r="I69" s="4" t="inlineStr">
        <is>
          <t>In-Network</t>
        </is>
      </c>
      <c r="J69" s="4" t="inlineStr">
        <is>
          <t>Yes</t>
        </is>
      </c>
    </row>
    <row r="70">
      <c r="A70" s="4" t="n">
        <v>1760047021</v>
      </c>
      <c r="B70" s="4" t="inlineStr">
        <is>
          <t>Cateland Abernethy</t>
        </is>
      </c>
      <c r="C70" s="4" t="inlineStr">
        <is>
          <t>Behavior Technician</t>
        </is>
      </c>
      <c r="D70" s="4" t="inlineStr">
        <is>
          <t>5058 Brightmour Cir</t>
        </is>
      </c>
      <c r="E70" s="4" t="inlineStr">
        <is>
          <t>Orlando</t>
        </is>
      </c>
      <c r="F70" s="4" t="inlineStr">
        <is>
          <t>FL</t>
        </is>
      </c>
      <c r="G70" s="4" t="inlineStr">
        <is>
          <t>32837</t>
        </is>
      </c>
      <c r="H70" s="4" t="inlineStr">
        <is>
          <t>904-638-6388</t>
        </is>
      </c>
      <c r="I70" s="4" t="inlineStr">
        <is>
          <t>In-Network</t>
        </is>
      </c>
      <c r="J70" s="4" t="inlineStr">
        <is>
          <t>No</t>
        </is>
      </c>
    </row>
    <row r="71">
      <c r="A71" s="4" t="n">
        <v>1174766570</v>
      </c>
      <c r="B71" s="4" t="inlineStr">
        <is>
          <t>Tania Abi Antoun, M.D.</t>
        </is>
      </c>
      <c r="C71" s="4" t="inlineStr">
        <is>
          <t>Internal Medicine, Nephrology</t>
        </is>
      </c>
      <c r="D71" s="4" t="inlineStr">
        <is>
          <t>3885 Oakwater Cir</t>
        </is>
      </c>
      <c r="E71" s="4" t="inlineStr">
        <is>
          <t>Orlando</t>
        </is>
      </c>
      <c r="F71" s="4" t="inlineStr">
        <is>
          <t>FL</t>
        </is>
      </c>
      <c r="G71" s="4" t="inlineStr">
        <is>
          <t>32806</t>
        </is>
      </c>
      <c r="H71" s="4" t="inlineStr">
        <is>
          <t>407-816-5700</t>
        </is>
      </c>
      <c r="I71" s="4" t="inlineStr">
        <is>
          <t>In-Network</t>
        </is>
      </c>
      <c r="J71" s="4" t="inlineStr">
        <is>
          <t>Yes</t>
        </is>
      </c>
    </row>
    <row r="72">
      <c r="A72" s="4" t="n">
        <v>1821583287</v>
      </c>
      <c r="B72" s="4" t="inlineStr">
        <is>
          <t>Estela Abich, MD</t>
        </is>
      </c>
      <c r="C72" s="4" t="inlineStr">
        <is>
          <t>Surgery</t>
        </is>
      </c>
      <c r="D72" s="4" t="inlineStr">
        <is>
          <t>9430 Turkey Lake Rd Ste 114</t>
        </is>
      </c>
      <c r="E72" s="4" t="inlineStr">
        <is>
          <t>Orlando</t>
        </is>
      </c>
      <c r="F72" s="4" t="inlineStr">
        <is>
          <t>FL</t>
        </is>
      </c>
      <c r="G72" s="4" t="inlineStr">
        <is>
          <t>32819</t>
        </is>
      </c>
      <c r="H72" s="4" t="inlineStr">
        <is>
          <t>407-354-1202</t>
        </is>
      </c>
      <c r="I72" s="4" t="inlineStr">
        <is>
          <t>In-Network</t>
        </is>
      </c>
      <c r="J72" s="4" t="inlineStr">
        <is>
          <t>Yes</t>
        </is>
      </c>
    </row>
    <row r="73">
      <c r="A73" s="4" t="n">
        <v>1578948261</v>
      </c>
      <c r="B73" s="4" t="inlineStr">
        <is>
          <t>Syed Abid, MD</t>
        </is>
      </c>
      <c r="C73" s="4" t="inlineStr">
        <is>
          <t>Internal Medicine, Hospice and Palliative Medicine</t>
        </is>
      </c>
      <c r="D73" s="4" t="inlineStr">
        <is>
          <t>601 E Rollins St</t>
        </is>
      </c>
      <c r="E73" s="4" t="inlineStr">
        <is>
          <t>Orlando</t>
        </is>
      </c>
      <c r="F73" s="4" t="inlineStr">
        <is>
          <t>FL</t>
        </is>
      </c>
      <c r="G73" s="4" t="inlineStr">
        <is>
          <t>32803</t>
        </is>
      </c>
      <c r="H73" s="4" t="inlineStr">
        <is>
          <t>407-303-2906</t>
        </is>
      </c>
      <c r="I73" s="4" t="inlineStr">
        <is>
          <t>In-Network</t>
        </is>
      </c>
      <c r="J73" s="4" t="inlineStr">
        <is>
          <t>No</t>
        </is>
      </c>
    </row>
    <row r="74">
      <c r="A74" s="4" t="n">
        <v>1376886614</v>
      </c>
      <c r="B74" s="4" t="inlineStr">
        <is>
          <t>Tolulope Abikoye, MD MPH</t>
        </is>
      </c>
      <c r="C74" s="4" t="inlineStr">
        <is>
          <t>Family Medicine</t>
        </is>
      </c>
      <c r="D74" s="4" t="inlineStr">
        <is>
          <t>904 Lee Rd Ste 200</t>
        </is>
      </c>
      <c r="E74" s="4" t="inlineStr">
        <is>
          <t>Orlando</t>
        </is>
      </c>
      <c r="F74" s="4" t="inlineStr">
        <is>
          <t>FL</t>
        </is>
      </c>
      <c r="G74" s="4" t="inlineStr">
        <is>
          <t>32810</t>
        </is>
      </c>
      <c r="H74" s="4" t="inlineStr">
        <is>
          <t>407-732-7373</t>
        </is>
      </c>
      <c r="I74" s="4" t="inlineStr">
        <is>
          <t>In-Network</t>
        </is>
      </c>
      <c r="J74" s="4" t="inlineStr">
        <is>
          <t>Yes</t>
        </is>
      </c>
    </row>
    <row r="75">
      <c r="A75" s="4" t="n">
        <v>1528871589</v>
      </c>
      <c r="B75" s="4" t="inlineStr">
        <is>
          <t>Tamar Abisror</t>
        </is>
      </c>
      <c r="C75" s="4" t="inlineStr">
        <is>
          <t>Counselor, Mental Health</t>
        </is>
      </c>
      <c r="D75" s="4" t="inlineStr">
        <is>
          <t>8612 Great Cove Dr</t>
        </is>
      </c>
      <c r="E75" s="4" t="inlineStr">
        <is>
          <t>Orlando</t>
        </is>
      </c>
      <c r="F75" s="4" t="inlineStr">
        <is>
          <t>FL</t>
        </is>
      </c>
      <c r="G75" s="4" t="inlineStr">
        <is>
          <t>32819</t>
        </is>
      </c>
      <c r="H75" s="4" t="inlineStr">
        <is>
          <t>786-859-7256</t>
        </is>
      </c>
      <c r="I75" s="4" t="inlineStr">
        <is>
          <t>In-Network</t>
        </is>
      </c>
      <c r="J75" s="4" t="inlineStr">
        <is>
          <t>Yes</t>
        </is>
      </c>
    </row>
    <row r="76">
      <c r="A76" s="4" t="n">
        <v>1386299782</v>
      </c>
      <c r="B76" s="4" t="inlineStr">
        <is>
          <t>Lilian Ablan Roldan, MD</t>
        </is>
      </c>
      <c r="C76" s="4" t="inlineStr">
        <is>
          <t>Pediatrics</t>
        </is>
      </c>
      <c r="D76" s="4" t="inlineStr">
        <is>
          <t>615 E Princeton St Ste 104</t>
        </is>
      </c>
      <c r="E76" s="4" t="inlineStr">
        <is>
          <t>Orlando</t>
        </is>
      </c>
      <c r="F76" s="4" t="inlineStr">
        <is>
          <t>FL</t>
        </is>
      </c>
      <c r="G76" s="4" t="inlineStr">
        <is>
          <t>32803</t>
        </is>
      </c>
      <c r="H76" s="4" t="inlineStr">
        <is>
          <t>407-303-6920</t>
        </is>
      </c>
      <c r="I76" s="4" t="inlineStr">
        <is>
          <t>In-Network</t>
        </is>
      </c>
      <c r="J76" s="4" t="inlineStr">
        <is>
          <t>Yes</t>
        </is>
      </c>
    </row>
    <row r="77">
      <c r="A77" s="4" t="n">
        <v>1124094719</v>
      </c>
      <c r="B77" s="4" t="inlineStr">
        <is>
          <t>Joy Ablordeppey, MD</t>
        </is>
      </c>
      <c r="C77" s="4" t="inlineStr">
        <is>
          <t>Family Medicine</t>
        </is>
      </c>
      <c r="D77" s="4" t="inlineStr">
        <is>
          <t>10225 Ulmerton Rd Ste 1A</t>
        </is>
      </c>
      <c r="E77" s="4" t="inlineStr">
        <is>
          <t>Largo</t>
        </is>
      </c>
      <c r="F77" s="4" t="inlineStr">
        <is>
          <t>FL</t>
        </is>
      </c>
      <c r="G77" s="4" t="inlineStr">
        <is>
          <t>33771</t>
        </is>
      </c>
      <c r="H77" s="4" t="inlineStr">
        <is>
          <t>727-585-7408</t>
        </is>
      </c>
      <c r="I77" s="4" t="inlineStr">
        <is>
          <t>Out-of-Network</t>
        </is>
      </c>
      <c r="J77" s="4" t="inlineStr">
        <is>
          <t>Yes</t>
        </is>
      </c>
    </row>
    <row r="78">
      <c r="A78" s="4" t="n">
        <v>1811965338</v>
      </c>
      <c r="B78" s="4" t="inlineStr">
        <is>
          <t>Jennifer Abnet, PA</t>
        </is>
      </c>
      <c r="C78" s="4" t="inlineStr">
        <is>
          <t>Physician Assistant</t>
        </is>
      </c>
      <c r="D78" s="4" t="inlineStr">
        <is>
          <t>1309 N Flagler Dr</t>
        </is>
      </c>
      <c r="E78" s="4" t="inlineStr">
        <is>
          <t>West Palm Beach</t>
        </is>
      </c>
      <c r="F78" s="4" t="inlineStr">
        <is>
          <t>FL</t>
        </is>
      </c>
      <c r="G78" s="4" t="inlineStr">
        <is>
          <t>33401</t>
        </is>
      </c>
      <c r="H78" s="4" t="inlineStr">
        <is>
          <t>561-655-5511</t>
        </is>
      </c>
      <c r="I78" s="4" t="inlineStr">
        <is>
          <t>In-Network</t>
        </is>
      </c>
      <c r="J78" s="4" t="inlineStr">
        <is>
          <t>Yes</t>
        </is>
      </c>
    </row>
    <row r="79">
      <c r="A79" s="4" t="n">
        <v>1922493600</v>
      </c>
      <c r="B79" s="4" t="inlineStr">
        <is>
          <t>Ancil Abney, MD</t>
        </is>
      </c>
      <c r="C79" s="4" t="inlineStr">
        <is>
          <t>Pediatrics</t>
        </is>
      </c>
      <c r="D79" s="4" t="inlineStr">
        <is>
          <t>51 Pennsylvania St</t>
        </is>
      </c>
      <c r="E79" s="4" t="inlineStr">
        <is>
          <t>Orlando</t>
        </is>
      </c>
      <c r="F79" s="4" t="inlineStr">
        <is>
          <t>FL</t>
        </is>
      </c>
      <c r="G79" s="4" t="inlineStr">
        <is>
          <t>32806</t>
        </is>
      </c>
      <c r="H79" s="4" t="inlineStr">
        <is>
          <t>321-843-3220</t>
        </is>
      </c>
      <c r="I79" s="4" t="inlineStr">
        <is>
          <t>In-Network</t>
        </is>
      </c>
      <c r="J79" s="4" t="inlineStr">
        <is>
          <t>Yes</t>
        </is>
      </c>
    </row>
    <row r="80">
      <c r="A80" s="4" t="n">
        <v>1275238214</v>
      </c>
      <c r="B80" s="4" t="inlineStr">
        <is>
          <t>Jordan Abney, MD</t>
        </is>
      </c>
      <c r="C80" s="4" t="inlineStr">
        <is>
          <t>Emergency Medicine</t>
        </is>
      </c>
      <c r="D80" s="4" t="inlineStr">
        <is>
          <t>2500 N State St</t>
        </is>
      </c>
      <c r="E80" s="4" t="inlineStr">
        <is>
          <t>Jackson</t>
        </is>
      </c>
      <c r="F80" s="4" t="inlineStr">
        <is>
          <t>MS</t>
        </is>
      </c>
      <c r="G80" s="4" t="inlineStr">
        <is>
          <t>39216</t>
        </is>
      </c>
      <c r="H80" s="4" t="inlineStr">
        <is>
          <t>601-984-1000</t>
        </is>
      </c>
      <c r="I80" s="4" t="inlineStr">
        <is>
          <t>In-Network</t>
        </is>
      </c>
      <c r="J80" s="4" t="inlineStr">
        <is>
          <t>Yes</t>
        </is>
      </c>
    </row>
    <row r="81">
      <c r="A81" s="4" t="n">
        <v>1336827575</v>
      </c>
      <c r="B81" s="4" t="inlineStr">
        <is>
          <t>Lisa Abney</t>
        </is>
      </c>
      <c r="C81" s="4" t="inlineStr">
        <is>
          <t>Behavior Technician</t>
        </is>
      </c>
      <c r="D81" s="4" t="inlineStr">
        <is>
          <t>1809 William St</t>
        </is>
      </c>
      <c r="E81" s="4" t="inlineStr">
        <is>
          <t>Fredericksburg</t>
        </is>
      </c>
      <c r="F81" s="4" t="inlineStr">
        <is>
          <t>VA</t>
        </is>
      </c>
      <c r="G81" s="4" t="inlineStr">
        <is>
          <t>22401</t>
        </is>
      </c>
      <c r="H81" s="4" t="inlineStr">
        <is>
          <t>540-922-1110</t>
        </is>
      </c>
      <c r="I81" s="4" t="inlineStr">
        <is>
          <t>In-Network</t>
        </is>
      </c>
      <c r="J81" s="4" t="inlineStr">
        <is>
          <t>Yes</t>
        </is>
      </c>
    </row>
    <row r="82">
      <c r="A82" s="4" t="n">
        <v>1215514526</v>
      </c>
      <c r="B82" s="4" t="inlineStr">
        <is>
          <t>Shatha Aboaid, MD</t>
        </is>
      </c>
      <c r="C82" s="4" t="inlineStr">
        <is>
          <t>Internal Medicine</t>
        </is>
      </c>
      <c r="D82" s="4" t="inlineStr">
        <is>
          <t>52 Underwood St</t>
        </is>
      </c>
      <c r="E82" s="4" t="inlineStr">
        <is>
          <t>Orlando</t>
        </is>
      </c>
      <c r="F82" s="4" t="inlineStr">
        <is>
          <t>FL</t>
        </is>
      </c>
      <c r="G82" s="4" t="inlineStr">
        <is>
          <t>32806</t>
        </is>
      </c>
      <c r="H82" s="4" t="inlineStr">
        <is>
          <t>321-841-3581</t>
        </is>
      </c>
      <c r="I82" s="4" t="inlineStr">
        <is>
          <t>In-Network</t>
        </is>
      </c>
      <c r="J82" s="4" t="inlineStr">
        <is>
          <t>Yes</t>
        </is>
      </c>
    </row>
    <row r="83">
      <c r="A83" s="4" t="n">
        <v>1578859484</v>
      </c>
      <c r="B83" s="4" t="inlineStr">
        <is>
          <t>Kingsley Abode-Iyamah, M.D.</t>
        </is>
      </c>
      <c r="C83" s="4" t="inlineStr">
        <is>
          <t>Neurological Surgery</t>
        </is>
      </c>
      <c r="D83" s="4" t="inlineStr">
        <is>
          <t>4500 San Pablo Rd S</t>
        </is>
      </c>
      <c r="E83" s="4" t="inlineStr">
        <is>
          <t>Jacksonville</t>
        </is>
      </c>
      <c r="F83" s="4" t="inlineStr">
        <is>
          <t>FL</t>
        </is>
      </c>
      <c r="G83" s="4" t="inlineStr">
        <is>
          <t>32224</t>
        </is>
      </c>
      <c r="H83" s="4" t="inlineStr">
        <is>
          <t>904-953-2000</t>
        </is>
      </c>
      <c r="I83" s="4" t="inlineStr">
        <is>
          <t>In-Network</t>
        </is>
      </c>
      <c r="J83" s="4" t="inlineStr">
        <is>
          <t>No</t>
        </is>
      </c>
    </row>
    <row r="84">
      <c r="A84" s="4" t="n">
        <v>1346813532</v>
      </c>
      <c r="B84" s="4" t="inlineStr">
        <is>
          <t>Lila Abolafia</t>
        </is>
      </c>
      <c r="C84" s="4" t="inlineStr">
        <is>
          <t>Behavior Technician</t>
        </is>
      </c>
      <c r="D84" s="4" t="inlineStr">
        <is>
          <t>8617 E Colonial Dr Ste 1100</t>
        </is>
      </c>
      <c r="E84" s="4" t="inlineStr">
        <is>
          <t>Orlando</t>
        </is>
      </c>
      <c r="F84" s="4" t="inlineStr">
        <is>
          <t>FL</t>
        </is>
      </c>
      <c r="G84" s="4" t="inlineStr">
        <is>
          <t>32817</t>
        </is>
      </c>
      <c r="H84" s="4" t="inlineStr">
        <is>
          <t>407-895-0801</t>
        </is>
      </c>
      <c r="I84" s="4" t="inlineStr">
        <is>
          <t>In-Network</t>
        </is>
      </c>
      <c r="J84" s="4" t="inlineStr">
        <is>
          <t>Yes</t>
        </is>
      </c>
    </row>
    <row r="85">
      <c r="A85" s="4" t="n">
        <v>1417249319</v>
      </c>
      <c r="B85" s="4" t="inlineStr">
        <is>
          <t>Chenue Abongwa, M.D</t>
        </is>
      </c>
      <c r="C85" s="4" t="inlineStr">
        <is>
          <t>Pediatrics, Pediatric Hematology-Oncology</t>
        </is>
      </c>
      <c r="D85" s="4" t="inlineStr">
        <is>
          <t>2501 N Orange Ave Ste 589</t>
        </is>
      </c>
      <c r="E85" s="4" t="inlineStr">
        <is>
          <t>Orlando</t>
        </is>
      </c>
      <c r="F85" s="4" t="inlineStr">
        <is>
          <t>FL</t>
        </is>
      </c>
      <c r="G85" s="4" t="inlineStr">
        <is>
          <t>32804</t>
        </is>
      </c>
      <c r="H85" s="4" t="inlineStr">
        <is>
          <t>407-303-2080</t>
        </is>
      </c>
      <c r="I85" s="4" t="inlineStr">
        <is>
          <t>In-Network</t>
        </is>
      </c>
      <c r="J85" s="4" t="inlineStr">
        <is>
          <t>Yes</t>
        </is>
      </c>
    </row>
    <row r="86">
      <c r="A86" s="4" t="n">
        <v>1366881161</v>
      </c>
      <c r="B86" s="4" t="inlineStr">
        <is>
          <t>Hanin Abou Ayash, M.D.</t>
        </is>
      </c>
      <c r="C86" s="4" t="inlineStr">
        <is>
          <t>Pediatrics</t>
        </is>
      </c>
      <c r="D86" s="4" t="inlineStr">
        <is>
          <t>930 S Main St</t>
        </is>
      </c>
      <c r="E86" s="4" t="inlineStr">
        <is>
          <t>Labelle</t>
        </is>
      </c>
      <c r="F86" s="4" t="inlineStr">
        <is>
          <t>FL</t>
        </is>
      </c>
      <c r="G86" s="4" t="inlineStr">
        <is>
          <t>33935</t>
        </is>
      </c>
      <c r="H86" s="4" t="inlineStr">
        <is>
          <t>863-675-0160</t>
        </is>
      </c>
      <c r="I86" s="4" t="inlineStr">
        <is>
          <t>In-Network</t>
        </is>
      </c>
      <c r="J86" s="4" t="inlineStr">
        <is>
          <t>Yes</t>
        </is>
      </c>
    </row>
    <row r="87">
      <c r="A87" s="4" t="n">
        <v>1083292452</v>
      </c>
      <c r="B87" s="4" t="inlineStr">
        <is>
          <t>Fadel Abou Ghaida</t>
        </is>
      </c>
      <c r="C87" s="4" t="inlineStr">
        <is>
          <t>Family Medicine</t>
        </is>
      </c>
      <c r="D87" s="4" t="inlineStr">
        <is>
          <t>1055 Crystal Bay Ln</t>
        </is>
      </c>
      <c r="E87" s="4" t="inlineStr">
        <is>
          <t>Orlando</t>
        </is>
      </c>
      <c r="F87" s="4" t="inlineStr">
        <is>
          <t>FL</t>
        </is>
      </c>
      <c r="G87" s="4" t="inlineStr">
        <is>
          <t>32828</t>
        </is>
      </c>
      <c r="H87" s="4" t="inlineStr">
        <is>
          <t>407-690-9512</t>
        </is>
      </c>
      <c r="I87" s="4" t="inlineStr">
        <is>
          <t>Out-of-Network</t>
        </is>
      </c>
      <c r="J87" s="4" t="inlineStr">
        <is>
          <t>Yes</t>
        </is>
      </c>
    </row>
    <row r="88">
      <c r="A88" s="4" t="n">
        <v>1700511698</v>
      </c>
      <c r="B88" s="4" t="inlineStr">
        <is>
          <t>Somia Abou-Osman</t>
        </is>
      </c>
      <c r="C88" s="4" t="inlineStr">
        <is>
          <t>Nurse Practitioner, Family</t>
        </is>
      </c>
      <c r="D88" s="4" t="inlineStr">
        <is>
          <t>4853 Darbyshire Ct</t>
        </is>
      </c>
      <c r="E88" s="4" t="inlineStr">
        <is>
          <t>Canfield</t>
        </is>
      </c>
      <c r="F88" s="4" t="inlineStr">
        <is>
          <t>OH</t>
        </is>
      </c>
      <c r="G88" s="4" t="inlineStr">
        <is>
          <t>44406</t>
        </is>
      </c>
      <c r="H88" s="4" t="inlineStr">
        <is>
          <t>330-509-0323</t>
        </is>
      </c>
      <c r="I88" s="4" t="inlineStr">
        <is>
          <t>In-Network</t>
        </is>
      </c>
      <c r="J88" s="4" t="inlineStr">
        <is>
          <t>No</t>
        </is>
      </c>
    </row>
    <row r="89">
      <c r="A89" s="4" t="n">
        <v>1871124909</v>
      </c>
      <c r="B89" s="4" t="inlineStr">
        <is>
          <t>Mehdi Abouei, MD</t>
        </is>
      </c>
      <c r="C89" s="4" t="inlineStr">
        <is>
          <t>Orthopaedic Surgery</t>
        </is>
      </c>
      <c r="D89" s="4" t="inlineStr">
        <is>
          <t>503 Jack Miller Rd Ste 6</t>
        </is>
      </c>
      <c r="E89" s="4" t="inlineStr">
        <is>
          <t>Ville Platte</t>
        </is>
      </c>
      <c r="F89" s="4" t="inlineStr">
        <is>
          <t>LA</t>
        </is>
      </c>
      <c r="G89" s="4" t="inlineStr">
        <is>
          <t>70586</t>
        </is>
      </c>
      <c r="H89" s="4" t="inlineStr">
        <is>
          <t>337-363-9486</t>
        </is>
      </c>
      <c r="I89" s="4" t="inlineStr">
        <is>
          <t>In-Network</t>
        </is>
      </c>
      <c r="J89" s="4" t="inlineStr">
        <is>
          <t>Yes</t>
        </is>
      </c>
    </row>
    <row r="90">
      <c r="A90" s="4" t="n">
        <v>1962102665</v>
      </c>
      <c r="B90" s="4" t="inlineStr">
        <is>
          <t>Karim Aboukoura</t>
        </is>
      </c>
      <c r="C90" s="4" t="inlineStr">
        <is>
          <t>Dentist, General Practice</t>
        </is>
      </c>
      <c r="D90" s="4" t="inlineStr">
        <is>
          <t>4509 Shanewood Ct</t>
        </is>
      </c>
      <c r="E90" s="4" t="inlineStr">
        <is>
          <t>Orlando</t>
        </is>
      </c>
      <c r="F90" s="4" t="inlineStr">
        <is>
          <t>FL</t>
        </is>
      </c>
      <c r="G90" s="4" t="inlineStr">
        <is>
          <t>32837</t>
        </is>
      </c>
      <c r="H90" s="4" t="inlineStr">
        <is>
          <t>407-454-4687</t>
        </is>
      </c>
      <c r="I90" s="4" t="inlineStr">
        <is>
          <t>In-Network</t>
        </is>
      </c>
      <c r="J90" s="4" t="inlineStr">
        <is>
          <t>Yes</t>
        </is>
      </c>
    </row>
    <row r="91">
      <c r="A91" s="4" t="n">
        <v>1376132381</v>
      </c>
      <c r="B91" s="4" t="inlineStr">
        <is>
          <t>Muna Abraha, APRN</t>
        </is>
      </c>
      <c r="C91" s="4" t="inlineStr">
        <is>
          <t>Nurse Practitioner</t>
        </is>
      </c>
      <c r="D91" s="4" t="inlineStr">
        <is>
          <t>2415 N Orange Ave Ste 700</t>
        </is>
      </c>
      <c r="E91" s="4" t="inlineStr">
        <is>
          <t>Orlando</t>
        </is>
      </c>
      <c r="F91" s="4" t="inlineStr">
        <is>
          <t>FL</t>
        </is>
      </c>
      <c r="G91" s="4" t="inlineStr">
        <is>
          <t>32804</t>
        </is>
      </c>
      <c r="H91" s="4" t="inlineStr">
        <is>
          <t>407-303-2474</t>
        </is>
      </c>
      <c r="I91" s="4" t="inlineStr">
        <is>
          <t>In-Network</t>
        </is>
      </c>
      <c r="J91" s="4" t="inlineStr">
        <is>
          <t>Yes</t>
        </is>
      </c>
    </row>
    <row r="92">
      <c r="A92" s="4" t="n">
        <v>1194568279</v>
      </c>
      <c r="B92" s="4" t="inlineStr">
        <is>
          <t>Annamma Abraham</t>
        </is>
      </c>
      <c r="C92" s="4" t="inlineStr">
        <is>
          <t>Nurse Practitioner, Psych/Mental Health</t>
        </is>
      </c>
      <c r="D92" s="4" t="inlineStr">
        <is>
          <t>3919 Tampa Rd</t>
        </is>
      </c>
      <c r="E92" s="4" t="inlineStr">
        <is>
          <t>Oldsmar</t>
        </is>
      </c>
      <c r="F92" s="4" t="inlineStr">
        <is>
          <t>FL</t>
        </is>
      </c>
      <c r="G92" s="4" t="inlineStr">
        <is>
          <t>34677</t>
        </is>
      </c>
      <c r="H92" s="4" t="inlineStr">
        <is>
          <t>727-733-6111</t>
        </is>
      </c>
      <c r="I92" s="4" t="inlineStr">
        <is>
          <t>In-Network</t>
        </is>
      </c>
      <c r="J92" s="4" t="inlineStr">
        <is>
          <t>Yes</t>
        </is>
      </c>
    </row>
    <row r="93">
      <c r="A93" s="4" t="n">
        <v>1861350183</v>
      </c>
      <c r="B93" s="4" t="inlineStr">
        <is>
          <t>Bibin Abraham, RN</t>
        </is>
      </c>
      <c r="C93" s="4" t="inlineStr">
        <is>
          <t>Registered Nurse, Critical Care Medicine</t>
        </is>
      </c>
      <c r="D93" s="4" t="inlineStr">
        <is>
          <t>55 W Gore St</t>
        </is>
      </c>
      <c r="E93" s="4" t="inlineStr">
        <is>
          <t>Orlando</t>
        </is>
      </c>
      <c r="F93" s="4" t="inlineStr">
        <is>
          <t>FL</t>
        </is>
      </c>
      <c r="G93" s="4" t="inlineStr">
        <is>
          <t>32806</t>
        </is>
      </c>
      <c r="H93" s="4" t="inlineStr">
        <is>
          <t>727-318-7243</t>
        </is>
      </c>
      <c r="I93" s="4" t="inlineStr">
        <is>
          <t>Out-of-Network</t>
        </is>
      </c>
      <c r="J93" s="4" t="inlineStr">
        <is>
          <t>Yes</t>
        </is>
      </c>
    </row>
    <row r="94">
      <c r="A94" s="4" t="n">
        <v>1427600477</v>
      </c>
      <c r="B94" s="4" t="inlineStr">
        <is>
          <t>Lisa Abraham</t>
        </is>
      </c>
      <c r="C94" s="4" t="inlineStr">
        <is>
          <t>Occupational Therapist</t>
        </is>
      </c>
      <c r="D94" s="4" t="inlineStr">
        <is>
          <t>1441 Winter Garden Vineland Rd</t>
        </is>
      </c>
      <c r="E94" s="4" t="inlineStr">
        <is>
          <t>Winter Garden</t>
        </is>
      </c>
      <c r="F94" s="4" t="inlineStr">
        <is>
          <t>FL</t>
        </is>
      </c>
      <c r="G94" s="4" t="inlineStr">
        <is>
          <t>34787</t>
        </is>
      </c>
      <c r="H94" s="4" t="inlineStr">
        <is>
          <t>407-852-3347</t>
        </is>
      </c>
      <c r="I94" s="4" t="inlineStr">
        <is>
          <t>In-Network</t>
        </is>
      </c>
      <c r="J94" s="4" t="inlineStr">
        <is>
          <t>Yes</t>
        </is>
      </c>
    </row>
    <row r="95">
      <c r="A95" s="4" t="n">
        <v>1689814584</v>
      </c>
      <c r="B95" s="4" t="inlineStr">
        <is>
          <t>Margaret Abraham, MD</t>
        </is>
      </c>
      <c r="C95" s="4" t="inlineStr">
        <is>
          <t>Obstetrics &amp; Gynecology</t>
        </is>
      </c>
      <c r="D95" s="4" t="inlineStr">
        <is>
          <t>821 Herndon Ave Unit 141436</t>
        </is>
      </c>
      <c r="E95" s="4" t="inlineStr">
        <is>
          <t>Orlando</t>
        </is>
      </c>
      <c r="F95" s="4" t="inlineStr">
        <is>
          <t>FL</t>
        </is>
      </c>
      <c r="G95" s="4" t="inlineStr">
        <is>
          <t>32814</t>
        </is>
      </c>
      <c r="H95" s="4" t="inlineStr">
        <is>
          <t>407-743-7471</t>
        </is>
      </c>
      <c r="I95" s="4" t="inlineStr">
        <is>
          <t>In-Network</t>
        </is>
      </c>
      <c r="J95" s="4" t="inlineStr">
        <is>
          <t>Yes</t>
        </is>
      </c>
    </row>
    <row r="96">
      <c r="A96" s="4" t="n">
        <v>1578134383</v>
      </c>
      <c r="B96" s="4" t="inlineStr">
        <is>
          <t>Mariem Abraham</t>
        </is>
      </c>
      <c r="C96" s="4" t="inlineStr">
        <is>
          <t>Chiropractor</t>
        </is>
      </c>
      <c r="D96" s="4" t="inlineStr">
        <is>
          <t>1954 W Sr 426 Ste 1112</t>
        </is>
      </c>
      <c r="E96" s="4" t="inlineStr">
        <is>
          <t>Oviedo</t>
        </is>
      </c>
      <c r="F96" s="4" t="inlineStr">
        <is>
          <t>FL</t>
        </is>
      </c>
      <c r="G96" s="4" t="inlineStr">
        <is>
          <t>32765</t>
        </is>
      </c>
      <c r="H96" s="4" t="inlineStr">
        <is>
          <t>407-723-0090</t>
        </is>
      </c>
      <c r="I96" s="4" t="inlineStr">
        <is>
          <t>In-Network</t>
        </is>
      </c>
      <c r="J96" s="4" t="inlineStr">
        <is>
          <t>Yes</t>
        </is>
      </c>
    </row>
    <row r="97">
      <c r="A97" s="4" t="n">
        <v>1336682335</v>
      </c>
      <c r="B97" s="4" t="inlineStr">
        <is>
          <t>Robert Abraham, D.C.</t>
        </is>
      </c>
      <c r="C97" s="4" t="inlineStr">
        <is>
          <t>Chiropractor</t>
        </is>
      </c>
      <c r="D97" s="4" t="inlineStr">
        <is>
          <t>1954 W Sr 426 Ste 1112</t>
        </is>
      </c>
      <c r="E97" s="4" t="inlineStr">
        <is>
          <t>Oviedo</t>
        </is>
      </c>
      <c r="F97" s="4" t="inlineStr">
        <is>
          <t>FL</t>
        </is>
      </c>
      <c r="G97" s="4" t="inlineStr">
        <is>
          <t>32765</t>
        </is>
      </c>
      <c r="H97" s="4" t="inlineStr">
        <is>
          <t>321-217-3986</t>
        </is>
      </c>
      <c r="I97" s="4" t="inlineStr">
        <is>
          <t>In-Network</t>
        </is>
      </c>
      <c r="J97" s="4" t="inlineStr">
        <is>
          <t>Yes</t>
        </is>
      </c>
    </row>
    <row r="98">
      <c r="A98" s="4" t="n">
        <v>1235013376</v>
      </c>
      <c r="B98" s="4" t="inlineStr">
        <is>
          <t>Victoria Abraham</t>
        </is>
      </c>
      <c r="C98" s="4" t="inlineStr">
        <is>
          <t>Anesthesiologist Assistant</t>
        </is>
      </c>
      <c r="D98" s="4" t="inlineStr">
        <is>
          <t>52 Underwood St</t>
        </is>
      </c>
      <c r="E98" s="4" t="inlineStr">
        <is>
          <t>Orlando</t>
        </is>
      </c>
      <c r="F98" s="4" t="inlineStr">
        <is>
          <t>FL</t>
        </is>
      </c>
      <c r="G98" s="4" t="inlineStr">
        <is>
          <t>32806</t>
        </is>
      </c>
      <c r="H98" s="4" t="inlineStr">
        <is>
          <t>407-527-7429</t>
        </is>
      </c>
      <c r="I98" s="4" t="inlineStr">
        <is>
          <t>In-Network</t>
        </is>
      </c>
      <c r="J98" s="4" t="inlineStr">
        <is>
          <t>No</t>
        </is>
      </c>
    </row>
    <row r="99">
      <c r="A99" s="4" t="n">
        <v>1396501748</v>
      </c>
      <c r="B99" s="4" t="inlineStr">
        <is>
          <t>Charissa Abrahams</t>
        </is>
      </c>
      <c r="C99" s="4" t="inlineStr">
        <is>
          <t>Behavior Technician</t>
        </is>
      </c>
      <c r="D99" s="4" t="inlineStr">
        <is>
          <t>3210 Corrine Dr</t>
        </is>
      </c>
      <c r="E99" s="4" t="inlineStr">
        <is>
          <t>Orlando</t>
        </is>
      </c>
      <c r="F99" s="4" t="inlineStr">
        <is>
          <t>FL</t>
        </is>
      </c>
      <c r="G99" s="4" t="inlineStr">
        <is>
          <t>32803</t>
        </is>
      </c>
      <c r="H99" s="4" t="inlineStr">
        <is>
          <t>855-295-3276</t>
        </is>
      </c>
      <c r="I99" s="4" t="inlineStr">
        <is>
          <t>In-Network</t>
        </is>
      </c>
      <c r="J99" s="4" t="inlineStr">
        <is>
          <t>No</t>
        </is>
      </c>
    </row>
    <row r="100">
      <c r="A100" s="4" t="n">
        <v>1326542036</v>
      </c>
      <c r="B100" s="4" t="inlineStr">
        <is>
          <t>Yeissel Abrahantes Rodriguez, MD</t>
        </is>
      </c>
      <c r="C100" s="4" t="inlineStr">
        <is>
          <t>Internal Medicine</t>
        </is>
      </c>
      <c r="D100" s="4" t="inlineStr">
        <is>
          <t>86 W Underwood St</t>
        </is>
      </c>
      <c r="E100" s="4" t="inlineStr">
        <is>
          <t>Orlando</t>
        </is>
      </c>
      <c r="F100" s="4" t="inlineStr">
        <is>
          <t>FL</t>
        </is>
      </c>
      <c r="G100" s="4" t="inlineStr">
        <is>
          <t>32806</t>
        </is>
      </c>
      <c r="H100" s="4" t="inlineStr">
        <is>
          <t>888-912-3648</t>
        </is>
      </c>
      <c r="I100" s="4" t="inlineStr">
        <is>
          <t>In-Network</t>
        </is>
      </c>
      <c r="J100" s="4" t="inlineStr">
        <is>
          <t>Yes</t>
        </is>
      </c>
    </row>
    <row r="101">
      <c r="A101" s="4" t="n">
        <v>1801176854</v>
      </c>
      <c r="B101" s="4" t="inlineStr">
        <is>
          <t>Anthony Abrajano</t>
        </is>
      </c>
      <c r="C101" s="4" t="inlineStr">
        <is>
          <t>Physical Therapist</t>
        </is>
      </c>
      <c r="D101" s="4" t="inlineStr">
        <is>
          <t>11315 Corporate Blvd</t>
        </is>
      </c>
      <c r="E101" s="4" t="inlineStr">
        <is>
          <t>Orlando</t>
        </is>
      </c>
      <c r="F101" s="4" t="inlineStr">
        <is>
          <t>FL</t>
        </is>
      </c>
      <c r="G101" s="4" t="inlineStr">
        <is>
          <t>32817</t>
        </is>
      </c>
      <c r="H101" s="4" t="inlineStr">
        <is>
          <t>800-774-7785</t>
        </is>
      </c>
      <c r="I101" s="4" t="inlineStr">
        <is>
          <t>Out-of-Network</t>
        </is>
      </c>
      <c r="J101" s="4" t="inlineStr">
        <is>
          <t>No</t>
        </is>
      </c>
    </row>
    <row r="102">
      <c r="A102" s="4" t="n">
        <v>1083187512</v>
      </c>
      <c r="B102" s="4" t="inlineStr">
        <is>
          <t>Lindsey Abramo</t>
        </is>
      </c>
      <c r="C102" s="4" t="inlineStr">
        <is>
          <t xml:space="preserve">Speech-Language Pathologist,  </t>
        </is>
      </c>
      <c r="D102" s="4" t="inlineStr">
        <is>
          <t>3452 Lake Lynda Dr Ste 200</t>
        </is>
      </c>
      <c r="E102" s="4" t="inlineStr">
        <is>
          <t>Orlando</t>
        </is>
      </c>
      <c r="F102" s="4" t="inlineStr">
        <is>
          <t>FL</t>
        </is>
      </c>
      <c r="G102" s="4" t="inlineStr">
        <is>
          <t>32817</t>
        </is>
      </c>
      <c r="H102" s="4" t="inlineStr">
        <is>
          <t>407-308-3906</t>
        </is>
      </c>
      <c r="I102" s="4" t="inlineStr">
        <is>
          <t>Out-of-Network</t>
        </is>
      </c>
      <c r="J102" s="4" t="inlineStr">
        <is>
          <t>No</t>
        </is>
      </c>
    </row>
    <row r="103">
      <c r="A103" s="4" t="n">
        <v>1225007875</v>
      </c>
      <c r="B103" s="4" t="inlineStr">
        <is>
          <t>Richard Abramson, MD</t>
        </is>
      </c>
      <c r="C103" s="4" t="inlineStr">
        <is>
          <t>Urology, Pediatric Urology</t>
        </is>
      </c>
      <c r="D103" s="4" t="inlineStr">
        <is>
          <t>1717 S Orange Ave</t>
        </is>
      </c>
      <c r="E103" s="4" t="inlineStr">
        <is>
          <t>Orlando</t>
        </is>
      </c>
      <c r="F103" s="4" t="inlineStr">
        <is>
          <t>FL</t>
        </is>
      </c>
      <c r="G103" s="4" t="inlineStr">
        <is>
          <t>32806</t>
        </is>
      </c>
      <c r="H103" s="4" t="inlineStr">
        <is>
          <t>407-650-7715</t>
        </is>
      </c>
      <c r="I103" s="4" t="inlineStr">
        <is>
          <t>In-Network</t>
        </is>
      </c>
      <c r="J103" s="4" t="inlineStr">
        <is>
          <t>Yes</t>
        </is>
      </c>
    </row>
    <row r="104">
      <c r="A104" s="4" t="n">
        <v>1922803683</v>
      </c>
      <c r="B104" s="4" t="inlineStr">
        <is>
          <t>Mercedes Abrante</t>
        </is>
      </c>
      <c r="C104" s="4" t="inlineStr">
        <is>
          <t>Behavior Technician</t>
        </is>
      </c>
      <c r="D104" s="4" t="inlineStr">
        <is>
          <t>9688 Hollyhill Dr</t>
        </is>
      </c>
      <c r="E104" s="4" t="inlineStr">
        <is>
          <t>Orlando</t>
        </is>
      </c>
      <c r="F104" s="4" t="inlineStr">
        <is>
          <t>FL</t>
        </is>
      </c>
      <c r="G104" s="4" t="inlineStr">
        <is>
          <t>32824</t>
        </is>
      </c>
      <c r="H104" s="4" t="inlineStr">
        <is>
          <t>407-709-7527</t>
        </is>
      </c>
      <c r="I104" s="4" t="inlineStr">
        <is>
          <t>In-Network</t>
        </is>
      </c>
      <c r="J104" s="4" t="inlineStr">
        <is>
          <t>Yes</t>
        </is>
      </c>
    </row>
    <row r="105">
      <c r="A105" s="4" t="n">
        <v>1992319602</v>
      </c>
      <c r="B105" s="4" t="inlineStr">
        <is>
          <t>Alejandra Abreu, MA</t>
        </is>
      </c>
      <c r="C105" s="4" t="inlineStr">
        <is>
          <t xml:space="preserve">Speech-Language Pathologist,  </t>
        </is>
      </c>
      <c r="D105" s="4" t="inlineStr">
        <is>
          <t>4780 Data Ct</t>
        </is>
      </c>
      <c r="E105" s="4" t="inlineStr">
        <is>
          <t>Orlando</t>
        </is>
      </c>
      <c r="F105" s="4" t="inlineStr">
        <is>
          <t>FL</t>
        </is>
      </c>
      <c r="G105" s="4" t="inlineStr">
        <is>
          <t>32817</t>
        </is>
      </c>
      <c r="H105" s="4" t="inlineStr">
        <is>
          <t>407-852-3300</t>
        </is>
      </c>
      <c r="I105" s="4" t="inlineStr">
        <is>
          <t>In-Network</t>
        </is>
      </c>
      <c r="J105" s="4" t="inlineStr">
        <is>
          <t>Yes</t>
        </is>
      </c>
    </row>
    <row r="106">
      <c r="A106" s="4" t="n">
        <v>1528589785</v>
      </c>
      <c r="B106" s="4" t="inlineStr">
        <is>
          <t>Xenibeth Abreu Almodovar, MSW</t>
        </is>
      </c>
      <c r="C106" s="4" t="inlineStr">
        <is>
          <t>Social Worker, Clinical</t>
        </is>
      </c>
      <c r="D106" s="4" t="inlineStr">
        <is>
          <t>6900 S Orange Blossom Trl Ste 402</t>
        </is>
      </c>
      <c r="E106" s="4" t="inlineStr">
        <is>
          <t>Orlando</t>
        </is>
      </c>
      <c r="F106" s="4" t="inlineStr">
        <is>
          <t>FL</t>
        </is>
      </c>
      <c r="G106" s="4" t="inlineStr">
        <is>
          <t>32809</t>
        </is>
      </c>
      <c r="H106" s="4" t="inlineStr">
        <is>
          <t>407-382-9079</t>
        </is>
      </c>
      <c r="I106" s="4" t="inlineStr">
        <is>
          <t>In-Network</t>
        </is>
      </c>
      <c r="J106" s="4" t="inlineStr">
        <is>
          <t>No</t>
        </is>
      </c>
    </row>
    <row r="107">
      <c r="A107" s="4" t="n">
        <v>1235813775</v>
      </c>
      <c r="B107" s="4" t="inlineStr">
        <is>
          <t>Cesar Abreu</t>
        </is>
      </c>
      <c r="C107" s="4" t="inlineStr">
        <is>
          <t>Hospitalist</t>
        </is>
      </c>
      <c r="D107" s="4" t="inlineStr">
        <is>
          <t>1478 Sackett Cir</t>
        </is>
      </c>
      <c r="E107" s="4" t="inlineStr">
        <is>
          <t>Orlando</t>
        </is>
      </c>
      <c r="F107" s="4" t="inlineStr">
        <is>
          <t>FL</t>
        </is>
      </c>
      <c r="G107" s="4" t="inlineStr">
        <is>
          <t>32818</t>
        </is>
      </c>
      <c r="H107" s="4" t="inlineStr">
        <is>
          <t>405-259-6174</t>
        </is>
      </c>
      <c r="I107" s="4" t="inlineStr">
        <is>
          <t>In-Network</t>
        </is>
      </c>
      <c r="J107" s="4" t="inlineStr">
        <is>
          <t>No</t>
        </is>
      </c>
    </row>
    <row r="108">
      <c r="A108" s="4" t="n">
        <v>1528773579</v>
      </c>
      <c r="B108" s="4" t="inlineStr">
        <is>
          <t>Daniela Abreu De Cabo</t>
        </is>
      </c>
      <c r="C108" s="4" t="inlineStr">
        <is>
          <t>Behavior Technician</t>
        </is>
      </c>
      <c r="D108" s="4" t="inlineStr">
        <is>
          <t>7882 Shoals Dr Apt B</t>
        </is>
      </c>
      <c r="E108" s="4" t="inlineStr">
        <is>
          <t>Orlando</t>
        </is>
      </c>
      <c r="F108" s="4" t="inlineStr">
        <is>
          <t>FL</t>
        </is>
      </c>
      <c r="G108" s="4" t="inlineStr">
        <is>
          <t>32817</t>
        </is>
      </c>
      <c r="H108" s="4" t="inlineStr">
        <is>
          <t>941-726-3149</t>
        </is>
      </c>
      <c r="I108" s="4" t="inlineStr">
        <is>
          <t>In-Network</t>
        </is>
      </c>
      <c r="J108" s="4" t="inlineStr">
        <is>
          <t>Yes</t>
        </is>
      </c>
    </row>
    <row r="109">
      <c r="A109" s="4" t="n">
        <v>1174597025</v>
      </c>
      <c r="B109" s="4" t="inlineStr">
        <is>
          <t>Elpidio Abreu, MD</t>
        </is>
      </c>
      <c r="C109" s="4" t="inlineStr">
        <is>
          <t>Internal Medicine, Nephrology</t>
        </is>
      </c>
      <c r="D109" s="4" t="inlineStr">
        <is>
          <t>1552 Boren Dr</t>
        </is>
      </c>
      <c r="E109" s="4" t="inlineStr">
        <is>
          <t>Ocoee</t>
        </is>
      </c>
      <c r="F109" s="4" t="inlineStr">
        <is>
          <t>FL</t>
        </is>
      </c>
      <c r="G109" s="4" t="inlineStr">
        <is>
          <t>34761</t>
        </is>
      </c>
      <c r="H109" s="4" t="inlineStr">
        <is>
          <t>407-905-8172</t>
        </is>
      </c>
      <c r="I109" s="4" t="inlineStr">
        <is>
          <t>Out-of-Network</t>
        </is>
      </c>
      <c r="J109" s="4" t="inlineStr">
        <is>
          <t>No</t>
        </is>
      </c>
    </row>
    <row r="110">
      <c r="A110" s="4" t="n">
        <v>1063656759</v>
      </c>
      <c r="B110" s="4" t="inlineStr">
        <is>
          <t>Joselyn Abreu, MSW, LCSW, LCADC</t>
        </is>
      </c>
      <c r="C110" s="4" t="inlineStr">
        <is>
          <t>Social Worker, Clinical</t>
        </is>
      </c>
      <c r="D110" s="4" t="inlineStr">
        <is>
          <t>1400 N Semoran Blvd</t>
        </is>
      </c>
      <c r="E110" s="4" t="inlineStr">
        <is>
          <t>Orlando</t>
        </is>
      </c>
      <c r="F110" s="4" t="inlineStr">
        <is>
          <t>FL</t>
        </is>
      </c>
      <c r="G110" s="4" t="inlineStr">
        <is>
          <t>32807</t>
        </is>
      </c>
      <c r="H110" s="4" t="inlineStr">
        <is>
          <t>407-823-8421</t>
        </is>
      </c>
      <c r="I110" s="4" t="inlineStr">
        <is>
          <t>In-Network</t>
        </is>
      </c>
      <c r="J110" s="4" t="inlineStr">
        <is>
          <t>Yes</t>
        </is>
      </c>
    </row>
    <row r="111">
      <c r="A111" s="4" t="n">
        <v>1518415082</v>
      </c>
      <c r="B111" s="4" t="inlineStr">
        <is>
          <t>Miguelina Abreu</t>
        </is>
      </c>
      <c r="C111" s="4" t="inlineStr">
        <is>
          <t>Case Manager/Care Coordinator</t>
        </is>
      </c>
      <c r="D111" s="4" t="inlineStr">
        <is>
          <t>1800 Mercy Dr</t>
        </is>
      </c>
      <c r="E111" s="4" t="inlineStr">
        <is>
          <t>Orlando</t>
        </is>
      </c>
      <c r="F111" s="4" t="inlineStr">
        <is>
          <t>FL</t>
        </is>
      </c>
      <c r="G111" s="4" t="inlineStr">
        <is>
          <t>32808</t>
        </is>
      </c>
      <c r="H111" s="4" t="inlineStr">
        <is>
          <t>407-875-3700</t>
        </is>
      </c>
      <c r="I111" s="4" t="inlineStr">
        <is>
          <t>In-Network</t>
        </is>
      </c>
      <c r="J111" s="4" t="inlineStr">
        <is>
          <t>Yes</t>
        </is>
      </c>
    </row>
    <row r="112">
      <c r="A112" s="4" t="n">
        <v>1093564833</v>
      </c>
      <c r="B112" s="4" t="inlineStr">
        <is>
          <t>Carlos Abreu Perez</t>
        </is>
      </c>
      <c r="C112" s="4" t="inlineStr">
        <is>
          <t>Counselor, Mental Health</t>
        </is>
      </c>
      <c r="D112" s="4" t="inlineStr">
        <is>
          <t>7726 Winegard Rd Ste 53</t>
        </is>
      </c>
      <c r="E112" s="4" t="inlineStr">
        <is>
          <t>Orlando</t>
        </is>
      </c>
      <c r="F112" s="4" t="inlineStr">
        <is>
          <t>FL</t>
        </is>
      </c>
      <c r="G112" s="4" t="inlineStr">
        <is>
          <t>32809</t>
        </is>
      </c>
      <c r="H112" s="4" t="inlineStr">
        <is>
          <t>407-900-5278</t>
        </is>
      </c>
      <c r="I112" s="4" t="inlineStr">
        <is>
          <t>Out-of-Network</t>
        </is>
      </c>
      <c r="J112" s="4" t="inlineStr">
        <is>
          <t>Yes</t>
        </is>
      </c>
    </row>
    <row r="113">
      <c r="A113" s="4" t="n">
        <v>1811793037</v>
      </c>
      <c r="B113" s="4" t="inlineStr">
        <is>
          <t>Aryham Abreu Sanchez</t>
        </is>
      </c>
      <c r="C113" s="4" t="inlineStr">
        <is>
          <t>Behavior Technician</t>
        </is>
      </c>
      <c r="D113" s="4" t="inlineStr">
        <is>
          <t>9703 Avellido Ave</t>
        </is>
      </c>
      <c r="E113" s="4" t="inlineStr">
        <is>
          <t>Orlando</t>
        </is>
      </c>
      <c r="F113" s="4" t="inlineStr">
        <is>
          <t>FL</t>
        </is>
      </c>
      <c r="G113" s="4" t="inlineStr">
        <is>
          <t>32819</t>
        </is>
      </c>
      <c r="H113" s="4" t="inlineStr">
        <is>
          <t>407-437-2534</t>
        </is>
      </c>
      <c r="I113" s="4" t="inlineStr">
        <is>
          <t>In-Network</t>
        </is>
      </c>
      <c r="J113" s="4" t="inlineStr">
        <is>
          <t>Yes</t>
        </is>
      </c>
    </row>
    <row r="114">
      <c r="A114" s="4" t="n">
        <v>1629422761</v>
      </c>
      <c r="B114" s="4" t="inlineStr">
        <is>
          <t>Shouberte Abreu, M.S.</t>
        </is>
      </c>
      <c r="C114" s="4" t="inlineStr">
        <is>
          <t>Behavior Analyst</t>
        </is>
      </c>
      <c r="D114" s="4" t="inlineStr">
        <is>
          <t>9964 N Kendall Dr Apt 823</t>
        </is>
      </c>
      <c r="E114" s="4" t="inlineStr">
        <is>
          <t>Miami</t>
        </is>
      </c>
      <c r="F114" s="4" t="inlineStr">
        <is>
          <t>FL</t>
        </is>
      </c>
      <c r="G114" s="4" t="inlineStr">
        <is>
          <t>33176</t>
        </is>
      </c>
      <c r="H114" s="4" t="inlineStr">
        <is>
          <t>305-747-3080</t>
        </is>
      </c>
      <c r="I114" s="4" t="inlineStr">
        <is>
          <t>In-Network</t>
        </is>
      </c>
      <c r="J114" s="4" t="inlineStr">
        <is>
          <t>Yes</t>
        </is>
      </c>
    </row>
    <row r="115">
      <c r="A115" s="4" t="n">
        <v>1376417568</v>
      </c>
      <c r="B115" s="4" t="inlineStr">
        <is>
          <t>Lisandra Abreu Zamora</t>
        </is>
      </c>
      <c r="C115" s="4" t="inlineStr">
        <is>
          <t>Behavior Technician</t>
        </is>
      </c>
      <c r="D115" s="4" t="inlineStr">
        <is>
          <t>8272 Charlin Pkwy</t>
        </is>
      </c>
      <c r="E115" s="4" t="inlineStr">
        <is>
          <t>Orlando</t>
        </is>
      </c>
      <c r="F115" s="4" t="inlineStr">
        <is>
          <t>FL</t>
        </is>
      </c>
      <c r="G115" s="4" t="inlineStr">
        <is>
          <t>32822</t>
        </is>
      </c>
      <c r="H115" s="4" t="inlineStr">
        <is>
          <t>608-707-9711</t>
        </is>
      </c>
      <c r="I115" s="4" t="inlineStr">
        <is>
          <t>In-Network</t>
        </is>
      </c>
      <c r="J115" s="4" t="inlineStr">
        <is>
          <t>No</t>
        </is>
      </c>
    </row>
    <row r="116">
      <c r="A116" s="4" t="n">
        <v>1467628834</v>
      </c>
      <c r="B116" s="4" t="inlineStr">
        <is>
          <t>Myra Abriam, APNP</t>
        </is>
      </c>
      <c r="C116" s="4" t="inlineStr">
        <is>
          <t>Nurse Practitioner, Pediatrics</t>
        </is>
      </c>
      <c r="D116" s="4" t="inlineStr">
        <is>
          <t>50 Sturtevant St</t>
        </is>
      </c>
      <c r="E116" s="4" t="inlineStr">
        <is>
          <t>Orlando</t>
        </is>
      </c>
      <c r="F116" s="4" t="inlineStr">
        <is>
          <t>FL</t>
        </is>
      </c>
      <c r="G116" s="4" t="inlineStr">
        <is>
          <t>32806</t>
        </is>
      </c>
      <c r="H116" s="4" t="inlineStr">
        <is>
          <t>407-649-6907</t>
        </is>
      </c>
      <c r="I116" s="4" t="inlineStr">
        <is>
          <t>In-Network</t>
        </is>
      </c>
      <c r="J116" s="4" t="inlineStr">
        <is>
          <t>No</t>
        </is>
      </c>
    </row>
    <row r="117">
      <c r="A117" s="4" t="n">
        <v>1982936118</v>
      </c>
      <c r="B117" s="4" t="inlineStr">
        <is>
          <t>Diana Abril-Medina</t>
        </is>
      </c>
      <c r="C117" s="4" t="inlineStr">
        <is>
          <t>Counselor</t>
        </is>
      </c>
      <c r="D117" s="4" t="inlineStr">
        <is>
          <t>6925 Lake Ellenor Dr Ste 12020</t>
        </is>
      </c>
      <c r="E117" s="4" t="inlineStr">
        <is>
          <t>Orlando</t>
        </is>
      </c>
      <c r="F117" s="4" t="inlineStr">
        <is>
          <t>FL</t>
        </is>
      </c>
      <c r="G117" s="4" t="inlineStr">
        <is>
          <t>32809</t>
        </is>
      </c>
      <c r="H117" s="4" t="inlineStr">
        <is>
          <t>407-301-1845</t>
        </is>
      </c>
      <c r="I117" s="4" t="inlineStr">
        <is>
          <t>In-Network</t>
        </is>
      </c>
      <c r="J117" s="4" t="inlineStr">
        <is>
          <t>Yes</t>
        </is>
      </c>
    </row>
    <row r="118">
      <c r="A118" s="4" t="n">
        <v>1841247533</v>
      </c>
      <c r="B118" s="4" t="inlineStr">
        <is>
          <t>Nicholas Abrudescu, M.D.</t>
        </is>
      </c>
      <c r="C118" s="4" t="inlineStr">
        <is>
          <t>Obstetrics &amp; Gynecology</t>
        </is>
      </c>
      <c r="D118" s="4" t="inlineStr">
        <is>
          <t>2809 Corrine Drive</t>
        </is>
      </c>
      <c r="E118" s="4" t="inlineStr">
        <is>
          <t>Orlando</t>
        </is>
      </c>
      <c r="F118" s="4" t="inlineStr">
        <is>
          <t>FL</t>
        </is>
      </c>
      <c r="G118" s="4" t="inlineStr">
        <is>
          <t>32803</t>
        </is>
      </c>
      <c r="H118" s="4" t="inlineStr">
        <is>
          <t>407-898-9922</t>
        </is>
      </c>
      <c r="I118" s="4" t="inlineStr">
        <is>
          <t>In-Network</t>
        </is>
      </c>
      <c r="J118" s="4" t="inlineStr">
        <is>
          <t>Yes</t>
        </is>
      </c>
    </row>
    <row r="119">
      <c r="A119" s="4" t="n">
        <v>1770185183</v>
      </c>
      <c r="B119" s="4" t="inlineStr">
        <is>
          <t>Alise Abshire</t>
        </is>
      </c>
      <c r="C119" s="4" t="inlineStr">
        <is>
          <t>Behavior Technician</t>
        </is>
      </c>
      <c r="D119" s="4" t="inlineStr">
        <is>
          <t>11476S Apopka Vineland Road Suite 118</t>
        </is>
      </c>
      <c r="E119" s="4" t="inlineStr">
        <is>
          <t>Orlando</t>
        </is>
      </c>
      <c r="F119" s="4" t="inlineStr">
        <is>
          <t>FL</t>
        </is>
      </c>
      <c r="G119" s="4" t="inlineStr">
        <is>
          <t>32836</t>
        </is>
      </c>
      <c r="H119" s="4" t="inlineStr">
        <is>
          <t>407-955-4001</t>
        </is>
      </c>
      <c r="I119" s="4" t="inlineStr">
        <is>
          <t>In-Network</t>
        </is>
      </c>
      <c r="J119" s="4" t="inlineStr">
        <is>
          <t>Yes</t>
        </is>
      </c>
    </row>
    <row r="120">
      <c r="A120" s="4" t="n">
        <v>1104890094</v>
      </c>
      <c r="B120" s="4" t="inlineStr">
        <is>
          <t>John Abu, MD</t>
        </is>
      </c>
      <c r="C120" s="4" t="inlineStr">
        <is>
          <t>Obstetrics &amp; Gynecology</t>
        </is>
      </c>
      <c r="D120" s="4" t="inlineStr">
        <is>
          <t>1700 S Tamiami Trl</t>
        </is>
      </c>
      <c r="E120" s="4" t="inlineStr">
        <is>
          <t>Sarasota</t>
        </is>
      </c>
      <c r="F120" s="4" t="inlineStr">
        <is>
          <t>FL</t>
        </is>
      </c>
      <c r="G120" s="4" t="inlineStr">
        <is>
          <t>34239</t>
        </is>
      </c>
      <c r="H120" s="4" t="inlineStr">
        <is>
          <t>941-917-8560</t>
        </is>
      </c>
      <c r="I120" s="4" t="inlineStr">
        <is>
          <t>In-Network</t>
        </is>
      </c>
      <c r="J120" s="4" t="inlineStr">
        <is>
          <t>Yes</t>
        </is>
      </c>
    </row>
    <row r="121">
      <c r="A121" s="4" t="n">
        <v>1114301058</v>
      </c>
      <c r="B121" s="4" t="inlineStr">
        <is>
          <t>Zain Abu Zahra</t>
        </is>
      </c>
      <c r="C121" s="4" t="inlineStr">
        <is>
          <t>Pharmacist</t>
        </is>
      </c>
      <c r="D121" s="4" t="inlineStr">
        <is>
          <t>4720 S Kirkman Rd</t>
        </is>
      </c>
      <c r="E121" s="4" t="inlineStr">
        <is>
          <t>Orlando</t>
        </is>
      </c>
      <c r="F121" s="4" t="inlineStr">
        <is>
          <t>FL</t>
        </is>
      </c>
      <c r="G121" s="4" t="inlineStr">
        <is>
          <t>32811</t>
        </is>
      </c>
      <c r="H121" s="4" t="inlineStr">
        <is>
          <t>407-293-8458</t>
        </is>
      </c>
      <c r="I121" s="4" t="inlineStr">
        <is>
          <t>In-Network</t>
        </is>
      </c>
      <c r="J121" s="4" t="inlineStr">
        <is>
          <t>Yes</t>
        </is>
      </c>
    </row>
    <row r="122">
      <c r="A122" s="4" t="n">
        <v>1558356402</v>
      </c>
      <c r="B122" s="4" t="inlineStr">
        <is>
          <t>Mutasim Abu-Hasan, MD</t>
        </is>
      </c>
      <c r="C122" s="4" t="inlineStr">
        <is>
          <t>Pediatrics, Pediatric Pulmonology</t>
        </is>
      </c>
      <c r="D122" s="4" t="inlineStr">
        <is>
          <t>1600 Sw Archer Rd</t>
        </is>
      </c>
      <c r="E122" s="4" t="inlineStr">
        <is>
          <t>Gainesville</t>
        </is>
      </c>
      <c r="F122" s="4" t="inlineStr">
        <is>
          <t>FL</t>
        </is>
      </c>
      <c r="G122" s="4" t="inlineStr">
        <is>
          <t>32610</t>
        </is>
      </c>
      <c r="H122" s="4" t="inlineStr">
        <is>
          <t>352-273-8379</t>
        </is>
      </c>
      <c r="I122" s="4" t="inlineStr">
        <is>
          <t>In-Network</t>
        </is>
      </c>
      <c r="J122" s="4" t="inlineStr">
        <is>
          <t>Yes</t>
        </is>
      </c>
    </row>
    <row r="123">
      <c r="A123" s="4" t="n">
        <v>1285284497</v>
      </c>
      <c r="B123" s="4" t="inlineStr">
        <is>
          <t>Farrah Abu-Hijleh</t>
        </is>
      </c>
      <c r="C123" s="4" t="inlineStr">
        <is>
          <t>Case Manager/Care Coordinator</t>
        </is>
      </c>
      <c r="D123" s="4" t="inlineStr">
        <is>
          <t>16406 Bristol Lake Cir</t>
        </is>
      </c>
      <c r="E123" s="4" t="inlineStr">
        <is>
          <t>Orlando</t>
        </is>
      </c>
      <c r="F123" s="4" t="inlineStr">
        <is>
          <t>FL</t>
        </is>
      </c>
      <c r="G123" s="4" t="inlineStr">
        <is>
          <t>32828</t>
        </is>
      </c>
      <c r="H123" s="4" t="inlineStr">
        <is>
          <t>904-477-9691</t>
        </is>
      </c>
      <c r="I123" s="4" t="inlineStr">
        <is>
          <t>In-Network</t>
        </is>
      </c>
      <c r="J123" s="4" t="inlineStr">
        <is>
          <t>No</t>
        </is>
      </c>
    </row>
    <row r="124">
      <c r="A124" s="4" t="n">
        <v>1972006781</v>
      </c>
      <c r="B124" s="4" t="inlineStr">
        <is>
          <t>Mohammad Abualganam, MD</t>
        </is>
      </c>
      <c r="C124" s="4" t="inlineStr">
        <is>
          <t>Internal Medicine</t>
        </is>
      </c>
      <c r="D124" s="4" t="inlineStr">
        <is>
          <t>9400 Turkey Lake Rd</t>
        </is>
      </c>
      <c r="E124" s="4" t="inlineStr">
        <is>
          <t>Orlando</t>
        </is>
      </c>
      <c r="F124" s="4" t="inlineStr">
        <is>
          <t>FL</t>
        </is>
      </c>
      <c r="G124" s="4" t="inlineStr">
        <is>
          <t>32819</t>
        </is>
      </c>
      <c r="H124" s="4" t="inlineStr">
        <is>
          <t>321-842-8505</t>
        </is>
      </c>
      <c r="I124" s="4" t="inlineStr">
        <is>
          <t>In-Network</t>
        </is>
      </c>
      <c r="J124" s="4" t="inlineStr">
        <is>
          <t>Yes</t>
        </is>
      </c>
    </row>
    <row r="125">
      <c r="A125" s="4" t="n">
        <v>1669967238</v>
      </c>
      <c r="B125" s="4" t="inlineStr">
        <is>
          <t>Kasey Abueg</t>
        </is>
      </c>
      <c r="C125" s="4" t="inlineStr">
        <is>
          <t xml:space="preserve">Speech-Language Pathologist,  </t>
        </is>
      </c>
      <c r="D125" s="4" t="inlineStr">
        <is>
          <t>606 Sherburn Ct</t>
        </is>
      </c>
      <c r="E125" s="4" t="inlineStr">
        <is>
          <t>Orlando</t>
        </is>
      </c>
      <c r="F125" s="4" t="inlineStr">
        <is>
          <t>FL</t>
        </is>
      </c>
      <c r="G125" s="4" t="inlineStr">
        <is>
          <t>32828</t>
        </is>
      </c>
      <c r="H125" s="4" t="inlineStr">
        <is>
          <t>407-810-2773</t>
        </is>
      </c>
      <c r="I125" s="4" t="inlineStr">
        <is>
          <t>In-Network</t>
        </is>
      </c>
      <c r="J125" s="4" t="inlineStr">
        <is>
          <t>Yes</t>
        </is>
      </c>
    </row>
    <row r="126">
      <c r="A126" s="4" t="n">
        <v>1023705084</v>
      </c>
      <c r="B126" s="4" t="inlineStr">
        <is>
          <t>Alonso Abugattas, DO</t>
        </is>
      </c>
      <c r="C126" s="4" t="inlineStr">
        <is>
          <t>Pediatrics</t>
        </is>
      </c>
      <c r="D126" s="4" t="inlineStr">
        <is>
          <t>601 E Rollins St Ste 400</t>
        </is>
      </c>
      <c r="E126" s="4" t="inlineStr">
        <is>
          <t>Orlando</t>
        </is>
      </c>
      <c r="F126" s="4" t="inlineStr">
        <is>
          <t>FL</t>
        </is>
      </c>
      <c r="G126" s="4" t="inlineStr">
        <is>
          <t>32803</t>
        </is>
      </c>
      <c r="H126" s="4" t="inlineStr">
        <is>
          <t>407-303-5600</t>
        </is>
      </c>
      <c r="I126" s="4" t="inlineStr">
        <is>
          <t>In-Network</t>
        </is>
      </c>
      <c r="J126" s="4" t="inlineStr">
        <is>
          <t>Yes</t>
        </is>
      </c>
    </row>
    <row r="127">
      <c r="A127" s="4" t="n">
        <v>1104353168</v>
      </c>
      <c r="B127" s="4" t="inlineStr">
        <is>
          <t>Summer Abukhodeir</t>
        </is>
      </c>
      <c r="C127" s="4" t="inlineStr">
        <is>
          <t>Nurse Practitioner, Acute Care</t>
        </is>
      </c>
      <c r="D127" s="4" t="inlineStr">
        <is>
          <t>858 Redwood Way</t>
        </is>
      </c>
      <c r="E127" s="4" t="inlineStr">
        <is>
          <t>Lake Wales</t>
        </is>
      </c>
      <c r="F127" s="4" t="inlineStr">
        <is>
          <t>FL</t>
        </is>
      </c>
      <c r="G127" s="4" t="inlineStr">
        <is>
          <t>33898</t>
        </is>
      </c>
      <c r="H127" s="4" t="inlineStr">
        <is>
          <t>863-232-7604</t>
        </is>
      </c>
      <c r="I127" s="4" t="inlineStr">
        <is>
          <t>In-Network</t>
        </is>
      </c>
      <c r="J127" s="4" t="inlineStr">
        <is>
          <t>No</t>
        </is>
      </c>
    </row>
    <row r="128">
      <c r="A128" s="4" t="n">
        <v>1447201538</v>
      </c>
      <c r="B128" s="4" t="inlineStr">
        <is>
          <t>Khalid Abusaada, MD</t>
        </is>
      </c>
      <c r="C128" s="4" t="inlineStr">
        <is>
          <t>Internal Medicine</t>
        </is>
      </c>
      <c r="D128" s="4" t="inlineStr">
        <is>
          <t>2501 N Orange Ave</t>
        </is>
      </c>
      <c r="E128" s="4" t="inlineStr">
        <is>
          <t>Orlando</t>
        </is>
      </c>
      <c r="F128" s="4" t="inlineStr">
        <is>
          <t>FL</t>
        </is>
      </c>
      <c r="G128" s="4" t="inlineStr">
        <is>
          <t>32804</t>
        </is>
      </c>
      <c r="H128" s="4" t="inlineStr">
        <is>
          <t>352-273-5138</t>
        </is>
      </c>
      <c r="I128" s="4" t="inlineStr">
        <is>
          <t>In-Network</t>
        </is>
      </c>
      <c r="J128" s="4" t="inlineStr">
        <is>
          <t>Yes</t>
        </is>
      </c>
    </row>
    <row r="129">
      <c r="A129" s="4" t="n">
        <v>1912095258</v>
      </c>
      <c r="B129" s="4" t="inlineStr">
        <is>
          <t>Sadi Abusrur, M.D.</t>
        </is>
      </c>
      <c r="C129" s="4" t="inlineStr">
        <is>
          <t>Anesthesiology</t>
        </is>
      </c>
      <c r="D129" s="4" t="inlineStr">
        <is>
          <t>2116 S Orange Ave Ste B</t>
        </is>
      </c>
      <c r="E129" s="4" t="inlineStr">
        <is>
          <t>Orlando</t>
        </is>
      </c>
      <c r="F129" s="4" t="inlineStr">
        <is>
          <t>FL</t>
        </is>
      </c>
      <c r="G129" s="4" t="inlineStr">
        <is>
          <t>32806</t>
        </is>
      </c>
      <c r="H129" s="4" t="inlineStr">
        <is>
          <t>407-704-8990</t>
        </is>
      </c>
      <c r="I129" s="4" t="inlineStr">
        <is>
          <t>Out-of-Network</t>
        </is>
      </c>
      <c r="J129" s="4" t="inlineStr">
        <is>
          <t>No</t>
        </is>
      </c>
    </row>
    <row r="130">
      <c r="A130" s="4" t="n">
        <v>1568079366</v>
      </c>
      <c r="B130" s="4" t="inlineStr">
        <is>
          <t>Shiji Aby, APRN</t>
        </is>
      </c>
      <c r="C130" s="4" t="inlineStr">
        <is>
          <t>Nurse Practitioner, Adult Health</t>
        </is>
      </c>
      <c r="D130" s="4" t="inlineStr">
        <is>
          <t>9430 Turkey Lake Rd Ste 110</t>
        </is>
      </c>
      <c r="E130" s="4" t="inlineStr">
        <is>
          <t>Orlando</t>
        </is>
      </c>
      <c r="F130" s="4" t="inlineStr">
        <is>
          <t>FL</t>
        </is>
      </c>
      <c r="G130" s="4" t="inlineStr">
        <is>
          <t>32819</t>
        </is>
      </c>
      <c r="H130" s="4" t="inlineStr">
        <is>
          <t>321-841-7856</t>
        </is>
      </c>
      <c r="I130" s="4" t="inlineStr">
        <is>
          <t>In-Network</t>
        </is>
      </c>
      <c r="J130" s="4" t="inlineStr">
        <is>
          <t>Yes</t>
        </is>
      </c>
    </row>
    <row r="131">
      <c r="A131" s="4" t="n">
        <v>1154036499</v>
      </c>
      <c r="B131" s="4" t="inlineStr">
        <is>
          <t>Brooke Abzug, OTD, OTR/L</t>
        </is>
      </c>
      <c r="C131" s="4" t="inlineStr">
        <is>
          <t>Occupational Therapist, Pediatrics</t>
        </is>
      </c>
      <c r="D131" s="4" t="inlineStr">
        <is>
          <t>11602 Lake Underhill Rd Ste 129</t>
        </is>
      </c>
      <c r="E131" s="4" t="inlineStr">
        <is>
          <t>Orlando</t>
        </is>
      </c>
      <c r="F131" s="4" t="inlineStr">
        <is>
          <t>FL</t>
        </is>
      </c>
      <c r="G131" s="4" t="inlineStr">
        <is>
          <t>32825</t>
        </is>
      </c>
      <c r="H131" s="4" t="inlineStr">
        <is>
          <t>407-277-5400</t>
        </is>
      </c>
      <c r="I131" s="4" t="inlineStr">
        <is>
          <t>In-Network</t>
        </is>
      </c>
      <c r="J131" s="4" t="inlineStr">
        <is>
          <t>No</t>
        </is>
      </c>
    </row>
    <row r="132">
      <c r="A132" s="4" t="n">
        <v>1548943632</v>
      </c>
      <c r="B132" s="4" t="inlineStr">
        <is>
          <t>Kayla Acampado</t>
        </is>
      </c>
      <c r="C132" s="4" t="inlineStr">
        <is>
          <t>Pharmacist</t>
        </is>
      </c>
      <c r="D132" s="4" t="inlineStr">
        <is>
          <t>3301 Edgewater Dr</t>
        </is>
      </c>
      <c r="E132" s="4" t="inlineStr">
        <is>
          <t>Orlando</t>
        </is>
      </c>
      <c r="F132" s="4" t="inlineStr">
        <is>
          <t>FL</t>
        </is>
      </c>
      <c r="G132" s="4" t="inlineStr">
        <is>
          <t>32804</t>
        </is>
      </c>
      <c r="H132" s="4" t="inlineStr">
        <is>
          <t>407-649-7859</t>
        </is>
      </c>
      <c r="I132" s="4" t="inlineStr">
        <is>
          <t>In-Network</t>
        </is>
      </c>
      <c r="J132" s="4" t="inlineStr">
        <is>
          <t>No</t>
        </is>
      </c>
    </row>
    <row r="133">
      <c r="A133" s="4" t="n">
        <v>1124724307</v>
      </c>
      <c r="B133" s="4" t="inlineStr">
        <is>
          <t>Kristoffer Acasio, RN, PMHNP-BC</t>
        </is>
      </c>
      <c r="C133" s="4" t="inlineStr">
        <is>
          <t>Nurse Practitioner, Psych/Mental Health</t>
        </is>
      </c>
      <c r="D133" s="4" t="inlineStr">
        <is>
          <t>3505 Lake Lynda Dr Ste 200</t>
        </is>
      </c>
      <c r="E133" s="4" t="inlineStr">
        <is>
          <t>Orlando</t>
        </is>
      </c>
      <c r="F133" s="4" t="inlineStr">
        <is>
          <t>FL</t>
        </is>
      </c>
      <c r="G133" s="4" t="inlineStr">
        <is>
          <t>32817</t>
        </is>
      </c>
      <c r="H133" s="4" t="inlineStr">
        <is>
          <t>407-476-0928</t>
        </is>
      </c>
      <c r="I133" s="4" t="inlineStr">
        <is>
          <t>In-Network</t>
        </is>
      </c>
      <c r="J133" s="4" t="inlineStr">
        <is>
          <t>Yes</t>
        </is>
      </c>
    </row>
    <row r="134">
      <c r="A134" s="4" t="n">
        <v>1760488431</v>
      </c>
      <c r="B134" s="4" t="inlineStr">
        <is>
          <t>Kevin Accola, M.D.</t>
        </is>
      </c>
      <c r="C134" s="4" t="inlineStr">
        <is>
          <t>Thoracic Surgery (Cardiothoracic Vascular Surgery)</t>
        </is>
      </c>
      <c r="D134" s="4" t="inlineStr">
        <is>
          <t>217 Hillcrest St</t>
        </is>
      </c>
      <c r="E134" s="4" t="inlineStr">
        <is>
          <t>Orlando</t>
        </is>
      </c>
      <c r="F134" s="4" t="inlineStr">
        <is>
          <t>FL</t>
        </is>
      </c>
      <c r="G134" s="4" t="inlineStr">
        <is>
          <t>32801</t>
        </is>
      </c>
      <c r="H134" s="4" t="inlineStr">
        <is>
          <t>407-425-1566</t>
        </is>
      </c>
      <c r="I134" s="4" t="inlineStr">
        <is>
          <t>In-Network</t>
        </is>
      </c>
      <c r="J134" s="4" t="inlineStr">
        <is>
          <t>Yes</t>
        </is>
      </c>
    </row>
    <row r="135">
      <c r="A135" s="4" t="n">
        <v>1568483808</v>
      </c>
      <c r="B135" s="4" t="inlineStr">
        <is>
          <t>April Ace, J.D., Ph.D.</t>
        </is>
      </c>
      <c r="C135" s="4" t="inlineStr">
        <is>
          <t>Specialist</t>
        </is>
      </c>
      <c r="D135" s="4" t="inlineStr">
        <is>
          <t>5201 Raymond St</t>
        </is>
      </c>
      <c r="E135" s="4" t="inlineStr">
        <is>
          <t>Orlando</t>
        </is>
      </c>
      <c r="F135" s="4" t="inlineStr">
        <is>
          <t>FL</t>
        </is>
      </c>
      <c r="G135" s="4" t="inlineStr">
        <is>
          <t>32803</t>
        </is>
      </c>
      <c r="H135" s="4" t="inlineStr">
        <is>
          <t>321-397-6231</t>
        </is>
      </c>
      <c r="I135" s="4" t="inlineStr">
        <is>
          <t>In-Network</t>
        </is>
      </c>
      <c r="J135" s="4" t="inlineStr">
        <is>
          <t>No</t>
        </is>
      </c>
    </row>
    <row r="136">
      <c r="A136" s="4" t="n">
        <v>1316665367</v>
      </c>
      <c r="B136" s="4" t="inlineStr">
        <is>
          <t>Adriana Acevedo</t>
        </is>
      </c>
      <c r="C136" s="4" t="inlineStr">
        <is>
          <t>Developmental Therapist</t>
        </is>
      </c>
      <c r="D136" s="4" t="inlineStr">
        <is>
          <t>2838 Osprey Creek Ln</t>
        </is>
      </c>
      <c r="E136" s="4" t="inlineStr">
        <is>
          <t>Orlando</t>
        </is>
      </c>
      <c r="F136" s="4" t="inlineStr">
        <is>
          <t>FL</t>
        </is>
      </c>
      <c r="G136" s="4" t="inlineStr">
        <is>
          <t>32825</t>
        </is>
      </c>
      <c r="H136" s="4" t="inlineStr">
        <is>
          <t>954-213-3760</t>
        </is>
      </c>
      <c r="I136" s="4" t="inlineStr">
        <is>
          <t>In-Network</t>
        </is>
      </c>
      <c r="J136" s="4" t="inlineStr">
        <is>
          <t>Yes</t>
        </is>
      </c>
    </row>
    <row r="137">
      <c r="A137" s="4" t="n">
        <v>1417126442</v>
      </c>
      <c r="B137" s="4" t="inlineStr">
        <is>
          <t>Aida Acevedo</t>
        </is>
      </c>
      <c r="C137" s="4" t="inlineStr">
        <is>
          <t>Registered Nurse, General Practice</t>
        </is>
      </c>
      <c r="D137" s="4" t="inlineStr">
        <is>
          <t>5201 Raymond St</t>
        </is>
      </c>
      <c r="E137" s="4" t="inlineStr">
        <is>
          <t>Orlando</t>
        </is>
      </c>
      <c r="F137" s="4" t="inlineStr">
        <is>
          <t>FL</t>
        </is>
      </c>
      <c r="G137" s="4" t="inlineStr">
        <is>
          <t>32803</t>
        </is>
      </c>
      <c r="H137" s="4" t="inlineStr">
        <is>
          <t>407-599-1532</t>
        </is>
      </c>
      <c r="I137" s="4" t="inlineStr">
        <is>
          <t>In-Network</t>
        </is>
      </c>
      <c r="J137" s="4" t="inlineStr">
        <is>
          <t>Yes</t>
        </is>
      </c>
    </row>
    <row r="138">
      <c r="A138" s="4" t="n">
        <v>1184647778</v>
      </c>
      <c r="B138" s="4" t="inlineStr">
        <is>
          <t>Betzy Acevedo, DRA.</t>
        </is>
      </c>
      <c r="C138" s="4" t="inlineStr">
        <is>
          <t>General Practice</t>
        </is>
      </c>
      <c r="D138" s="4" t="inlineStr">
        <is>
          <t>1044 Plaza Dr</t>
        </is>
      </c>
      <c r="E138" s="4" t="inlineStr">
        <is>
          <t>Kissimmee</t>
        </is>
      </c>
      <c r="F138" s="4" t="inlineStr">
        <is>
          <t>FL</t>
        </is>
      </c>
      <c r="G138" s="4" t="inlineStr">
        <is>
          <t>34743</t>
        </is>
      </c>
      <c r="H138" s="4" t="inlineStr">
        <is>
          <t>407-933-7900</t>
        </is>
      </c>
      <c r="I138" s="4" t="inlineStr">
        <is>
          <t>In-Network</t>
        </is>
      </c>
      <c r="J138" s="4" t="inlineStr">
        <is>
          <t>No</t>
        </is>
      </c>
    </row>
    <row r="139">
      <c r="A139" s="4" t="n">
        <v>1114997699</v>
      </c>
      <c r="B139" s="4" t="inlineStr">
        <is>
          <t>Gilfredy Acevedo, M.D.</t>
        </is>
      </c>
      <c r="C139" s="4" t="inlineStr">
        <is>
          <t>General Practice</t>
        </is>
      </c>
      <c r="D139" s="4" t="inlineStr">
        <is>
          <t>5249 Conway Rd</t>
        </is>
      </c>
      <c r="E139" s="4" t="inlineStr">
        <is>
          <t>Orlando</t>
        </is>
      </c>
      <c r="F139" s="4" t="inlineStr">
        <is>
          <t>FL</t>
        </is>
      </c>
      <c r="G139" s="4" t="inlineStr">
        <is>
          <t>32812</t>
        </is>
      </c>
      <c r="H139" s="4" t="inlineStr">
        <is>
          <t>407-931-0444</t>
        </is>
      </c>
      <c r="I139" s="4" t="inlineStr">
        <is>
          <t>In-Network</t>
        </is>
      </c>
      <c r="J139" s="4" t="inlineStr">
        <is>
          <t>Yes</t>
        </is>
      </c>
    </row>
    <row r="140">
      <c r="A140" s="4" t="n">
        <v>1356525596</v>
      </c>
      <c r="B140" s="4" t="inlineStr">
        <is>
          <t>Javier Acevedo, M.D.</t>
        </is>
      </c>
      <c r="C140" s="4" t="inlineStr">
        <is>
          <t>Internal Medicine, Clinical Cardiac Electrophysiology</t>
        </is>
      </c>
      <c r="D140" s="4" t="inlineStr">
        <is>
          <t>1222 S Orange Ave</t>
        </is>
      </c>
      <c r="E140" s="4" t="inlineStr">
        <is>
          <t>Orlando</t>
        </is>
      </c>
      <c r="F140" s="4" t="inlineStr">
        <is>
          <t>FL</t>
        </is>
      </c>
      <c r="G140" s="4" t="inlineStr">
        <is>
          <t>32806</t>
        </is>
      </c>
      <c r="H140" s="4" t="inlineStr">
        <is>
          <t>321-841-6444</t>
        </is>
      </c>
      <c r="I140" s="4" t="inlineStr">
        <is>
          <t>In-Network</t>
        </is>
      </c>
      <c r="J140" s="4" t="inlineStr">
        <is>
          <t>Yes</t>
        </is>
      </c>
    </row>
    <row r="141">
      <c r="A141" s="4" t="n">
        <v>1780331694</v>
      </c>
      <c r="B141" s="4" t="inlineStr">
        <is>
          <t>Johanny Acevedo, LMT</t>
        </is>
      </c>
      <c r="C141" s="4" t="inlineStr">
        <is>
          <t>Massage Therapist</t>
        </is>
      </c>
      <c r="D141" s="4" t="inlineStr">
        <is>
          <t>5034 Downing St</t>
        </is>
      </c>
      <c r="E141" s="4" t="inlineStr">
        <is>
          <t>Orlando</t>
        </is>
      </c>
      <c r="F141" s="4" t="inlineStr">
        <is>
          <t>FL</t>
        </is>
      </c>
      <c r="G141" s="4" t="inlineStr">
        <is>
          <t>32839</t>
        </is>
      </c>
      <c r="H141" s="4" t="inlineStr">
        <is>
          <t>754-260-4337</t>
        </is>
      </c>
      <c r="I141" s="4" t="inlineStr">
        <is>
          <t>In-Network</t>
        </is>
      </c>
      <c r="J141" s="4" t="inlineStr">
        <is>
          <t>Yes</t>
        </is>
      </c>
    </row>
    <row r="142">
      <c r="A142" s="4" t="n">
        <v>1407388499</v>
      </c>
      <c r="B142" s="4" t="inlineStr">
        <is>
          <t>Kathleen Acevedo, LMHC, MED</t>
        </is>
      </c>
      <c r="C142" s="4" t="inlineStr">
        <is>
          <t>Counselor, Mental Health</t>
        </is>
      </c>
      <c r="D142" s="4" t="inlineStr">
        <is>
          <t>3680 Avalon Park East Blvd Ste 301</t>
        </is>
      </c>
      <c r="E142" s="4" t="inlineStr">
        <is>
          <t>Orlando</t>
        </is>
      </c>
      <c r="F142" s="4" t="inlineStr">
        <is>
          <t>FL</t>
        </is>
      </c>
      <c r="G142" s="4" t="inlineStr">
        <is>
          <t>32828</t>
        </is>
      </c>
      <c r="H142" s="4" t="inlineStr">
        <is>
          <t>321-351-4925</t>
        </is>
      </c>
      <c r="I142" s="4" t="inlineStr">
        <is>
          <t>In-Network</t>
        </is>
      </c>
      <c r="J142" s="4" t="inlineStr">
        <is>
          <t>Yes</t>
        </is>
      </c>
    </row>
    <row r="143">
      <c r="A143" s="4" t="n">
        <v>1205793742</v>
      </c>
      <c r="B143" s="4" t="inlineStr">
        <is>
          <t>Kevin Acevedo, SW</t>
        </is>
      </c>
      <c r="C143" s="4" t="inlineStr">
        <is>
          <t>Social Worker</t>
        </is>
      </c>
      <c r="D143" s="4" t="inlineStr">
        <is>
          <t>13101 Bruce B Downs Blvd</t>
        </is>
      </c>
      <c r="E143" s="4" t="inlineStr">
        <is>
          <t>Tampa</t>
        </is>
      </c>
      <c r="F143" s="4" t="inlineStr">
        <is>
          <t>FL</t>
        </is>
      </c>
      <c r="G143" s="4" t="inlineStr">
        <is>
          <t>33612</t>
        </is>
      </c>
      <c r="H143" s="4" t="inlineStr">
        <is>
          <t>813-821-8038</t>
        </is>
      </c>
      <c r="I143" s="4" t="inlineStr">
        <is>
          <t>In-Network</t>
        </is>
      </c>
      <c r="J143" s="4" t="inlineStr">
        <is>
          <t>Yes</t>
        </is>
      </c>
    </row>
    <row r="144">
      <c r="A144" s="4" t="n">
        <v>1417603242</v>
      </c>
      <c r="B144" s="4" t="inlineStr">
        <is>
          <t>Kishamar Acevedo, DC</t>
        </is>
      </c>
      <c r="C144" s="4" t="inlineStr">
        <is>
          <t>Chiropractor</t>
        </is>
      </c>
      <c r="D144" s="4" t="inlineStr">
        <is>
          <t>2206 E Colonial Dr.</t>
        </is>
      </c>
      <c r="E144" s="4" t="inlineStr">
        <is>
          <t>Orlando</t>
        </is>
      </c>
      <c r="F144" s="4" t="inlineStr">
        <is>
          <t>FL</t>
        </is>
      </c>
      <c r="G144" s="4" t="inlineStr">
        <is>
          <t>32803</t>
        </is>
      </c>
      <c r="H144" s="4" t="inlineStr">
        <is>
          <t>407-839-1045</t>
        </is>
      </c>
      <c r="I144" s="4" t="inlineStr">
        <is>
          <t>In-Network</t>
        </is>
      </c>
      <c r="J144" s="4" t="inlineStr">
        <is>
          <t>No</t>
        </is>
      </c>
    </row>
    <row r="145">
      <c r="A145" s="4" t="n">
        <v>1174309272</v>
      </c>
      <c r="B145" s="4" t="inlineStr">
        <is>
          <t>Paola Acevedo Lorenzo, PharmD</t>
        </is>
      </c>
      <c r="C145" s="4" t="inlineStr">
        <is>
          <t>Pharmacist</t>
        </is>
      </c>
      <c r="D145" s="4" t="inlineStr">
        <is>
          <t>13800 Veterans Way</t>
        </is>
      </c>
      <c r="E145" s="4" t="inlineStr">
        <is>
          <t>Orlando</t>
        </is>
      </c>
      <c r="F145" s="4" t="inlineStr">
        <is>
          <t>FL</t>
        </is>
      </c>
      <c r="G145" s="4" t="inlineStr">
        <is>
          <t>32827</t>
        </is>
      </c>
      <c r="H145" s="4" t="inlineStr">
        <is>
          <t>407-631-1000</t>
        </is>
      </c>
      <c r="I145" s="4" t="inlineStr">
        <is>
          <t>In-Network</t>
        </is>
      </c>
      <c r="J145" s="4" t="inlineStr">
        <is>
          <t>Yes</t>
        </is>
      </c>
    </row>
    <row r="146">
      <c r="A146" s="4" t="n">
        <v>1477070191</v>
      </c>
      <c r="B146" s="4" t="inlineStr">
        <is>
          <t>Marcus Acevedo, DC</t>
        </is>
      </c>
      <c r="C146" s="4" t="inlineStr">
        <is>
          <t>Chiropractor</t>
        </is>
      </c>
      <c r="D146" s="4" t="inlineStr">
        <is>
          <t>779 N Alafaya Trl</t>
        </is>
      </c>
      <c r="E146" s="4" t="inlineStr">
        <is>
          <t>Orlando</t>
        </is>
      </c>
      <c r="F146" s="4" t="inlineStr">
        <is>
          <t>FL</t>
        </is>
      </c>
      <c r="G146" s="4" t="inlineStr">
        <is>
          <t>32828</t>
        </is>
      </c>
      <c r="H146" s="4" t="inlineStr">
        <is>
          <t>407-900-2221</t>
        </is>
      </c>
      <c r="I146" s="4" t="inlineStr">
        <is>
          <t>In-Network</t>
        </is>
      </c>
      <c r="J146" s="4" t="inlineStr">
        <is>
          <t>Yes</t>
        </is>
      </c>
    </row>
    <row r="147">
      <c r="A147" s="4" t="n">
        <v>1881217412</v>
      </c>
      <c r="B147" s="4" t="inlineStr">
        <is>
          <t>Meagan Acevedo, MD</t>
        </is>
      </c>
      <c r="C147" s="4" t="inlineStr">
        <is>
          <t>Pediatrics</t>
        </is>
      </c>
      <c r="D147" s="4" t="inlineStr">
        <is>
          <t>51 Pennsylvania St</t>
        </is>
      </c>
      <c r="E147" s="4" t="inlineStr">
        <is>
          <t>Orlando</t>
        </is>
      </c>
      <c r="F147" s="4" t="inlineStr">
        <is>
          <t>FL</t>
        </is>
      </c>
      <c r="G147" s="4" t="inlineStr">
        <is>
          <t>32806</t>
        </is>
      </c>
      <c r="H147" s="4" t="inlineStr">
        <is>
          <t>321-843-3220</t>
        </is>
      </c>
      <c r="I147" s="4" t="inlineStr">
        <is>
          <t>In-Network</t>
        </is>
      </c>
      <c r="J147" s="4" t="inlineStr">
        <is>
          <t>No</t>
        </is>
      </c>
    </row>
    <row r="148">
      <c r="A148" s="4" t="n">
        <v>1386314938</v>
      </c>
      <c r="B148" s="4" t="inlineStr">
        <is>
          <t>Joerik Acevedo Medina, RN</t>
        </is>
      </c>
      <c r="C148" s="4" t="inlineStr">
        <is>
          <t>Registered Nurse, Pediatrics</t>
        </is>
      </c>
      <c r="D148" s="4" t="inlineStr">
        <is>
          <t>12200 Menta St Ste 105</t>
        </is>
      </c>
      <c r="E148" s="4" t="inlineStr">
        <is>
          <t>Orlando</t>
        </is>
      </c>
      <c r="F148" s="4" t="inlineStr">
        <is>
          <t>FL</t>
        </is>
      </c>
      <c r="G148" s="4" t="inlineStr">
        <is>
          <t>32837</t>
        </is>
      </c>
      <c r="H148" s="4" t="inlineStr">
        <is>
          <t>407-757-2257</t>
        </is>
      </c>
      <c r="I148" s="4" t="inlineStr">
        <is>
          <t>In-Network</t>
        </is>
      </c>
      <c r="J148" s="4" t="inlineStr">
        <is>
          <t>Yes</t>
        </is>
      </c>
    </row>
    <row r="149">
      <c r="A149" s="4" t="n">
        <v>1588051445</v>
      </c>
      <c r="B149" s="4" t="inlineStr">
        <is>
          <t>Naysha Acevedo</t>
        </is>
      </c>
      <c r="C149" s="4" t="inlineStr">
        <is>
          <t>Counselor, Mental Health</t>
        </is>
      </c>
      <c r="D149" s="4" t="inlineStr">
        <is>
          <t>225 S Swoope Ave</t>
        </is>
      </c>
      <c r="E149" s="4" t="inlineStr">
        <is>
          <t>Maitland</t>
        </is>
      </c>
      <c r="F149" s="4" t="inlineStr">
        <is>
          <t>FL</t>
        </is>
      </c>
      <c r="G149" s="4" t="inlineStr">
        <is>
          <t>32751</t>
        </is>
      </c>
      <c r="H149" s="4" t="inlineStr">
        <is>
          <t>407-699-0444</t>
        </is>
      </c>
      <c r="I149" s="4" t="inlineStr">
        <is>
          <t>In-Network</t>
        </is>
      </c>
      <c r="J149" s="4" t="inlineStr">
        <is>
          <t>Yes</t>
        </is>
      </c>
    </row>
    <row r="150">
      <c r="A150" s="4" t="n">
        <v>1164048054</v>
      </c>
      <c r="B150" s="4" t="inlineStr">
        <is>
          <t>Rachel Acevedo</t>
        </is>
      </c>
      <c r="C150" s="4" t="inlineStr">
        <is>
          <t>Behavior Technician</t>
        </is>
      </c>
      <c r="D150" s="4" t="inlineStr">
        <is>
          <t>1515 Park Center Dr Ste 2F</t>
        </is>
      </c>
      <c r="E150" s="4" t="inlineStr">
        <is>
          <t>Orlando</t>
        </is>
      </c>
      <c r="F150" s="4" t="inlineStr">
        <is>
          <t>FL</t>
        </is>
      </c>
      <c r="G150" s="4" t="inlineStr">
        <is>
          <t>32835</t>
        </is>
      </c>
      <c r="H150" s="4" t="inlineStr">
        <is>
          <t>267-597-1029</t>
        </is>
      </c>
      <c r="I150" s="4" t="inlineStr">
        <is>
          <t>In-Network</t>
        </is>
      </c>
      <c r="J150" s="4" t="inlineStr">
        <is>
          <t>Yes</t>
        </is>
      </c>
    </row>
    <row r="151">
      <c r="A151" s="4" t="n">
        <v>1437584471</v>
      </c>
      <c r="B151" s="4" t="inlineStr">
        <is>
          <t>Rene Acevedo, Pharm.D.</t>
        </is>
      </c>
      <c r="C151" s="4" t="inlineStr">
        <is>
          <t>Pharmacist</t>
        </is>
      </c>
      <c r="D151" s="4" t="inlineStr">
        <is>
          <t>550 Technology Park</t>
        </is>
      </c>
      <c r="E151" s="4" t="inlineStr">
        <is>
          <t>Lake Mary</t>
        </is>
      </c>
      <c r="F151" s="4" t="inlineStr">
        <is>
          <t>FL</t>
        </is>
      </c>
      <c r="G151" s="4" t="inlineStr">
        <is>
          <t>32746</t>
        </is>
      </c>
      <c r="H151" s="4" t="inlineStr">
        <is>
          <t>888-315-3395</t>
        </is>
      </c>
      <c r="I151" s="4" t="inlineStr">
        <is>
          <t>In-Network</t>
        </is>
      </c>
      <c r="J151" s="4" t="inlineStr">
        <is>
          <t>No</t>
        </is>
      </c>
    </row>
    <row r="152">
      <c r="A152" s="4" t="n">
        <v>1639166531</v>
      </c>
      <c r="B152" s="4" t="inlineStr">
        <is>
          <t>Miguel Acevedo Segui, MD</t>
        </is>
      </c>
      <c r="C152" s="4" t="inlineStr">
        <is>
          <t>Emergency Medicine, Emergency Medical Services</t>
        </is>
      </c>
      <c r="D152" s="4" t="inlineStr">
        <is>
          <t>601 E Rollins St</t>
        </is>
      </c>
      <c r="E152" s="4" t="inlineStr">
        <is>
          <t>Orlando</t>
        </is>
      </c>
      <c r="F152" s="4" t="inlineStr">
        <is>
          <t>FL</t>
        </is>
      </c>
      <c r="G152" s="4" t="inlineStr">
        <is>
          <t>32803</t>
        </is>
      </c>
      <c r="H152" s="4" t="inlineStr">
        <is>
          <t>407-303-5600</t>
        </is>
      </c>
      <c r="I152" s="4" t="inlineStr">
        <is>
          <t>Out-of-Network</t>
        </is>
      </c>
      <c r="J152" s="4" t="inlineStr">
        <is>
          <t>Yes</t>
        </is>
      </c>
    </row>
    <row r="153">
      <c r="A153" s="4" t="n">
        <v>1962729459</v>
      </c>
      <c r="B153" s="4" t="inlineStr">
        <is>
          <t>Sixto Acevedo</t>
        </is>
      </c>
      <c r="C153" s="4" t="inlineStr">
        <is>
          <t>Counselor</t>
        </is>
      </c>
      <c r="D153" s="4" t="inlineStr">
        <is>
          <t>1800 Mercy Dr</t>
        </is>
      </c>
      <c r="E153" s="4" t="inlineStr">
        <is>
          <t>Orlando</t>
        </is>
      </c>
      <c r="F153" s="4" t="inlineStr">
        <is>
          <t>FL</t>
        </is>
      </c>
      <c r="G153" s="4" t="inlineStr">
        <is>
          <t>32808</t>
        </is>
      </c>
      <c r="H153" s="4" t="inlineStr">
        <is>
          <t>407-875-3700</t>
        </is>
      </c>
      <c r="I153" s="4" t="inlineStr">
        <is>
          <t>In-Network</t>
        </is>
      </c>
      <c r="J153" s="4" t="inlineStr">
        <is>
          <t>Yes</t>
        </is>
      </c>
    </row>
    <row r="154">
      <c r="A154" s="4" t="n">
        <v>1962348318</v>
      </c>
      <c r="B154" s="4" t="inlineStr">
        <is>
          <t>Valeria Acevedo</t>
        </is>
      </c>
      <c r="C154" s="4" t="inlineStr">
        <is>
          <t>Behavior Technician</t>
        </is>
      </c>
      <c r="D154" s="4" t="inlineStr">
        <is>
          <t>1717 S Orange Ave</t>
        </is>
      </c>
      <c r="E154" s="4" t="inlineStr">
        <is>
          <t>Orlando</t>
        </is>
      </c>
      <c r="F154" s="4" t="inlineStr">
        <is>
          <t>FL</t>
        </is>
      </c>
      <c r="G154" s="4" t="inlineStr">
        <is>
          <t>32806</t>
        </is>
      </c>
      <c r="H154" s="4" t="inlineStr">
        <is>
          <t>689-208-5057</t>
        </is>
      </c>
      <c r="I154" s="4" t="inlineStr">
        <is>
          <t>In-Network</t>
        </is>
      </c>
      <c r="J154" s="4" t="inlineStr">
        <is>
          <t>Yes</t>
        </is>
      </c>
    </row>
    <row r="155">
      <c r="A155" s="4" t="n">
        <v>1659107878</v>
      </c>
      <c r="B155" s="4" t="inlineStr">
        <is>
          <t>Vanessa Acevedo</t>
        </is>
      </c>
      <c r="C155" s="4" t="inlineStr">
        <is>
          <t>Behavior Technician</t>
        </is>
      </c>
      <c r="D155" s="4" t="inlineStr">
        <is>
          <t>5959 Lake Ellenor Dr</t>
        </is>
      </c>
      <c r="E155" s="4" t="inlineStr">
        <is>
          <t>Orlando</t>
        </is>
      </c>
      <c r="F155" s="4" t="inlineStr">
        <is>
          <t>FL</t>
        </is>
      </c>
      <c r="G155" s="4" t="inlineStr">
        <is>
          <t>32809</t>
        </is>
      </c>
      <c r="H155" s="4" t="inlineStr">
        <is>
          <t>407-347-4958</t>
        </is>
      </c>
      <c r="I155" s="4" t="inlineStr">
        <is>
          <t>In-Network</t>
        </is>
      </c>
      <c r="J155" s="4" t="inlineStr">
        <is>
          <t>No</t>
        </is>
      </c>
    </row>
    <row r="156">
      <c r="A156" s="4" t="n">
        <v>1790623130</v>
      </c>
      <c r="B156" s="4" t="inlineStr">
        <is>
          <t>Camryn Acevedo-Burke</t>
        </is>
      </c>
      <c r="C156" s="4" t="inlineStr">
        <is>
          <t>Technician, Personal Care Attendant</t>
        </is>
      </c>
      <c r="D156" s="4" t="inlineStr">
        <is>
          <t>715 Southern Edge Way</t>
        </is>
      </c>
      <c r="E156" s="4" t="inlineStr">
        <is>
          <t>Sanford</t>
        </is>
      </c>
      <c r="F156" s="4" t="inlineStr">
        <is>
          <t>FL</t>
        </is>
      </c>
      <c r="G156" s="4" t="inlineStr">
        <is>
          <t>32771</t>
        </is>
      </c>
      <c r="H156" s="4" t="inlineStr">
        <is>
          <t>168-977-7967</t>
        </is>
      </c>
      <c r="I156" s="4" t="inlineStr">
        <is>
          <t>In-Network</t>
        </is>
      </c>
      <c r="J156" s="4" t="inlineStr">
        <is>
          <t>No</t>
        </is>
      </c>
    </row>
    <row r="157">
      <c r="A157" s="4" t="n">
        <v>1275751232</v>
      </c>
      <c r="B157" s="4" t="inlineStr">
        <is>
          <t>Gloria Acevedo-Rentas, R.Ph</t>
        </is>
      </c>
      <c r="C157" s="4" t="inlineStr">
        <is>
          <t>Pharmacist</t>
        </is>
      </c>
      <c r="D157" s="4" t="inlineStr">
        <is>
          <t>1347 E Vine St</t>
        </is>
      </c>
      <c r="E157" s="4" t="inlineStr">
        <is>
          <t>Kissimmee</t>
        </is>
      </c>
      <c r="F157" s="4" t="inlineStr">
        <is>
          <t>FL</t>
        </is>
      </c>
      <c r="G157" s="4" t="inlineStr">
        <is>
          <t>34744</t>
        </is>
      </c>
      <c r="H157" s="4" t="inlineStr">
        <is>
          <t>407-933-8856</t>
        </is>
      </c>
      <c r="I157" s="4" t="inlineStr">
        <is>
          <t>In-Network</t>
        </is>
      </c>
      <c r="J157" s="4" t="inlineStr">
        <is>
          <t>Yes</t>
        </is>
      </c>
    </row>
    <row r="158">
      <c r="A158" s="4" t="n">
        <v>1144066036</v>
      </c>
      <c r="B158" s="4" t="inlineStr">
        <is>
          <t>Ashirbad Acharya, MD</t>
        </is>
      </c>
      <c r="C158" s="4" t="inlineStr">
        <is>
          <t>Student in an Organized Health Care Education/Training Program</t>
        </is>
      </c>
      <c r="D158" s="4" t="inlineStr">
        <is>
          <t>2501 N Orange Ave Ste 235</t>
        </is>
      </c>
      <c r="E158" s="4" t="inlineStr">
        <is>
          <t>Orlando</t>
        </is>
      </c>
      <c r="F158" s="4" t="inlineStr">
        <is>
          <t>FL</t>
        </is>
      </c>
      <c r="G158" s="4" t="inlineStr">
        <is>
          <t>32804</t>
        </is>
      </c>
      <c r="H158" s="4" t="inlineStr">
        <is>
          <t>407-303-7270</t>
        </is>
      </c>
      <c r="I158" s="4" t="inlineStr">
        <is>
          <t>In-Network</t>
        </is>
      </c>
      <c r="J158" s="4" t="inlineStr">
        <is>
          <t>Yes</t>
        </is>
      </c>
    </row>
    <row r="159">
      <c r="A159" s="4" t="n">
        <v>1770363962</v>
      </c>
      <c r="B159" s="4" t="inlineStr">
        <is>
          <t>Jack Achenbach, RDN</t>
        </is>
      </c>
      <c r="C159" s="4" t="inlineStr">
        <is>
          <t>Dietitian, Registered</t>
        </is>
      </c>
      <c r="D159" s="4" t="inlineStr">
        <is>
          <t>13841 Osprey Links Rd</t>
        </is>
      </c>
      <c r="E159" s="4" t="inlineStr">
        <is>
          <t>Orlando</t>
        </is>
      </c>
      <c r="F159" s="4" t="inlineStr">
        <is>
          <t>FL</t>
        </is>
      </c>
      <c r="G159" s="4" t="inlineStr">
        <is>
          <t>32837</t>
        </is>
      </c>
      <c r="H159" s="4" t="inlineStr">
        <is>
          <t>484-886-6357</t>
        </is>
      </c>
      <c r="I159" s="4" t="inlineStr">
        <is>
          <t>In-Network</t>
        </is>
      </c>
      <c r="J159" s="4" t="inlineStr">
        <is>
          <t>No</t>
        </is>
      </c>
    </row>
    <row r="160">
      <c r="A160" s="4" t="n">
        <v>1356077317</v>
      </c>
      <c r="B160" s="4" t="inlineStr">
        <is>
          <t>Roslyn Achmad, FNP-BC</t>
        </is>
      </c>
      <c r="C160" s="4" t="inlineStr">
        <is>
          <t>Nurse Practitioner, Family</t>
        </is>
      </c>
      <c r="D160" s="4" t="inlineStr">
        <is>
          <t>12280 Lake Underhill Rd</t>
        </is>
      </c>
      <c r="E160" s="4" t="inlineStr">
        <is>
          <t>Orlando</t>
        </is>
      </c>
      <c r="F160" s="4" t="inlineStr">
        <is>
          <t>FL</t>
        </is>
      </c>
      <c r="G160" s="4" t="inlineStr">
        <is>
          <t>32825</t>
        </is>
      </c>
      <c r="H160" s="4" t="inlineStr">
        <is>
          <t>954-937-8089</t>
        </is>
      </c>
      <c r="I160" s="4" t="inlineStr">
        <is>
          <t>In-Network</t>
        </is>
      </c>
      <c r="J160" s="4" t="inlineStr">
        <is>
          <t>Yes</t>
        </is>
      </c>
    </row>
    <row r="161">
      <c r="A161" s="4" t="n">
        <v>1023489309</v>
      </c>
      <c r="B161" s="4" t="inlineStr">
        <is>
          <t>Aji Achuthan, ARNP</t>
        </is>
      </c>
      <c r="C161" s="4" t="inlineStr">
        <is>
          <t>Nurse Practitioner, Family</t>
        </is>
      </c>
      <c r="D161" s="4" t="inlineStr">
        <is>
          <t>1741 David Walker Dr</t>
        </is>
      </c>
      <c r="E161" s="4" t="inlineStr">
        <is>
          <t>Tavares</t>
        </is>
      </c>
      <c r="F161" s="4" t="inlineStr">
        <is>
          <t>FL</t>
        </is>
      </c>
      <c r="G161" s="4" t="inlineStr">
        <is>
          <t>32778</t>
        </is>
      </c>
      <c r="H161" s="4" t="inlineStr">
        <is>
          <t>352-742-3578</t>
        </is>
      </c>
      <c r="I161" s="4" t="inlineStr">
        <is>
          <t>In-Network</t>
        </is>
      </c>
      <c r="J161" s="4" t="inlineStr">
        <is>
          <t>No</t>
        </is>
      </c>
    </row>
    <row r="162">
      <c r="A162" s="4" t="n">
        <v>1841272853</v>
      </c>
      <c r="B162" s="4" t="inlineStr">
        <is>
          <t>Jeanne Ackerman, M.D.</t>
        </is>
      </c>
      <c r="C162" s="4" t="inlineStr">
        <is>
          <t>Pathology, Anatomic Pathology &amp; Clinical Pathology</t>
        </is>
      </c>
      <c r="D162" s="4" t="inlineStr">
        <is>
          <t>601 E Rollins St</t>
        </is>
      </c>
      <c r="E162" s="4" t="inlineStr">
        <is>
          <t>Orlando</t>
        </is>
      </c>
      <c r="F162" s="4" t="inlineStr">
        <is>
          <t>FL</t>
        </is>
      </c>
      <c r="G162" s="4" t="inlineStr">
        <is>
          <t>32803</t>
        </is>
      </c>
      <c r="H162" s="4" t="inlineStr">
        <is>
          <t>407-303-6611</t>
        </is>
      </c>
      <c r="I162" s="4" t="inlineStr">
        <is>
          <t>In-Network</t>
        </is>
      </c>
      <c r="J162" s="4" t="inlineStr">
        <is>
          <t>No</t>
        </is>
      </c>
    </row>
    <row r="163">
      <c r="A163" s="4" t="n">
        <v>1609949783</v>
      </c>
      <c r="B163" s="4" t="inlineStr">
        <is>
          <t>Margrette Ackert</t>
        </is>
      </c>
      <c r="C163" s="4" t="inlineStr">
        <is>
          <t>Psychologist, School</t>
        </is>
      </c>
      <c r="D163" s="4" t="inlineStr">
        <is>
          <t>601 W Michigan St</t>
        </is>
      </c>
      <c r="E163" s="4" t="inlineStr">
        <is>
          <t>Orlando</t>
        </is>
      </c>
      <c r="F163" s="4" t="inlineStr">
        <is>
          <t>FL</t>
        </is>
      </c>
      <c r="G163" s="4" t="inlineStr">
        <is>
          <t>32805</t>
        </is>
      </c>
      <c r="H163" s="4" t="inlineStr">
        <is>
          <t>407-317-7430</t>
        </is>
      </c>
      <c r="I163" s="4" t="inlineStr">
        <is>
          <t>In-Network</t>
        </is>
      </c>
      <c r="J163" s="4" t="inlineStr">
        <is>
          <t>No</t>
        </is>
      </c>
    </row>
    <row r="164">
      <c r="A164" s="4" t="n">
        <v>1447941141</v>
      </c>
      <c r="B164" s="4" t="inlineStr">
        <is>
          <t>William Acobe Vazquez, MD</t>
        </is>
      </c>
      <c r="C164" s="4" t="inlineStr">
        <is>
          <t>General Practice</t>
        </is>
      </c>
      <c r="D164" s="4" t="inlineStr">
        <is>
          <t>33044 Us Hwy 27 N</t>
        </is>
      </c>
      <c r="E164" s="4" t="inlineStr">
        <is>
          <t>Haines City</t>
        </is>
      </c>
      <c r="F164" s="4" t="inlineStr">
        <is>
          <t>FL</t>
        </is>
      </c>
      <c r="G164" s="4" t="inlineStr">
        <is>
          <t>33844</t>
        </is>
      </c>
      <c r="H164" s="4" t="inlineStr">
        <is>
          <t>863-422-4977</t>
        </is>
      </c>
      <c r="I164" s="4" t="inlineStr">
        <is>
          <t>In-Network</t>
        </is>
      </c>
      <c r="J164" s="4" t="inlineStr">
        <is>
          <t>Yes</t>
        </is>
      </c>
    </row>
    <row r="165">
      <c r="A165" s="4" t="n">
        <v>1083200877</v>
      </c>
      <c r="B165" s="4" t="inlineStr">
        <is>
          <t>Allison Acosta, DC</t>
        </is>
      </c>
      <c r="C165" s="4" t="inlineStr">
        <is>
          <t>Chiropractor</t>
        </is>
      </c>
      <c r="D165" s="4" t="inlineStr">
        <is>
          <t>6001 Vineland Rd</t>
        </is>
      </c>
      <c r="E165" s="4" t="inlineStr">
        <is>
          <t>Orlando</t>
        </is>
      </c>
      <c r="F165" s="4" t="inlineStr">
        <is>
          <t>FL</t>
        </is>
      </c>
      <c r="G165" s="4" t="inlineStr">
        <is>
          <t>32819</t>
        </is>
      </c>
      <c r="H165" s="4" t="inlineStr">
        <is>
          <t>407-271-8845</t>
        </is>
      </c>
      <c r="I165" s="4" t="inlineStr">
        <is>
          <t>In-Network</t>
        </is>
      </c>
      <c r="J165" s="4" t="inlineStr">
        <is>
          <t>No</t>
        </is>
      </c>
    </row>
    <row r="166">
      <c r="A166" s="4" t="n">
        <v>1003561358</v>
      </c>
      <c r="B166" s="4" t="inlineStr">
        <is>
          <t>Antonio Acosta</t>
        </is>
      </c>
      <c r="C166" s="4" t="inlineStr">
        <is>
          <t>Occupational Therapy Assistant</t>
        </is>
      </c>
      <c r="D166" s="4" t="inlineStr">
        <is>
          <t>3367 Burlington Dr</t>
        </is>
      </c>
      <c r="E166" s="4" t="inlineStr">
        <is>
          <t>Orlando</t>
        </is>
      </c>
      <c r="F166" s="4" t="inlineStr">
        <is>
          <t>FL</t>
        </is>
      </c>
      <c r="G166" s="4" t="inlineStr">
        <is>
          <t>32837</t>
        </is>
      </c>
      <c r="H166" s="4" t="inlineStr">
        <is>
          <t>407-782-1150</t>
        </is>
      </c>
      <c r="I166" s="4" t="inlineStr">
        <is>
          <t>In-Network</t>
        </is>
      </c>
      <c r="J166" s="4" t="inlineStr">
        <is>
          <t>No</t>
        </is>
      </c>
    </row>
    <row r="167">
      <c r="A167" s="4" t="n">
        <v>1215649389</v>
      </c>
      <c r="B167" s="4" t="inlineStr">
        <is>
          <t>Ashley Acosta, DNP, FNP, APRN-c</t>
        </is>
      </c>
      <c r="C167" s="4" t="inlineStr">
        <is>
          <t>Nurse Practitioner, Family</t>
        </is>
      </c>
      <c r="D167" s="4" t="inlineStr">
        <is>
          <t>5900 Turkey Lake Rd</t>
        </is>
      </c>
      <c r="E167" s="4" t="inlineStr">
        <is>
          <t>Orlando</t>
        </is>
      </c>
      <c r="F167" s="4" t="inlineStr">
        <is>
          <t>FL</t>
        </is>
      </c>
      <c r="G167" s="4" t="inlineStr">
        <is>
          <t>32819</t>
        </is>
      </c>
      <c r="H167" s="4" t="inlineStr">
        <is>
          <t>929-384-4460</t>
        </is>
      </c>
      <c r="I167" s="4" t="inlineStr">
        <is>
          <t>In-Network</t>
        </is>
      </c>
      <c r="J167" s="4" t="inlineStr">
        <is>
          <t>Yes</t>
        </is>
      </c>
    </row>
    <row r="168">
      <c r="A168" s="4" t="n">
        <v>1114399920</v>
      </c>
      <c r="B168" s="4" t="inlineStr">
        <is>
          <t>Fanny Acosta De La Rosa</t>
        </is>
      </c>
      <c r="C168" s="4" t="inlineStr">
        <is>
          <t>Registered Nurse, Psych/Mental Health</t>
        </is>
      </c>
      <c r="D168" s="4" t="inlineStr">
        <is>
          <t>1800 Mercy Dr</t>
        </is>
      </c>
      <c r="E168" s="4" t="inlineStr">
        <is>
          <t>Orlando</t>
        </is>
      </c>
      <c r="F168" s="4" t="inlineStr">
        <is>
          <t>FL</t>
        </is>
      </c>
      <c r="G168" s="4" t="inlineStr">
        <is>
          <t>32808</t>
        </is>
      </c>
      <c r="H168" s="4" t="inlineStr">
        <is>
          <t>407-875-3700</t>
        </is>
      </c>
      <c r="I168" s="4" t="inlineStr">
        <is>
          <t>In-Network</t>
        </is>
      </c>
      <c r="J168" s="4" t="inlineStr">
        <is>
          <t>Yes</t>
        </is>
      </c>
    </row>
    <row r="169">
      <c r="A169" s="4" t="n">
        <v>1184436727</v>
      </c>
      <c r="B169" s="4" t="inlineStr">
        <is>
          <t>Yaili Acosta Diaz</t>
        </is>
      </c>
      <c r="C169" s="4" t="inlineStr">
        <is>
          <t>Behavior Technician</t>
        </is>
      </c>
      <c r="D169" s="4" t="inlineStr">
        <is>
          <t>4614 Nikki Ct Apt 3</t>
        </is>
      </c>
      <c r="E169" s="4" t="inlineStr">
        <is>
          <t>Orlando</t>
        </is>
      </c>
      <c r="F169" s="4" t="inlineStr">
        <is>
          <t>FL</t>
        </is>
      </c>
      <c r="G169" s="4" t="inlineStr">
        <is>
          <t>32822</t>
        </is>
      </c>
      <c r="H169" s="4" t="inlineStr">
        <is>
          <t>689-251-2955</t>
        </is>
      </c>
      <c r="I169" s="4" t="inlineStr">
        <is>
          <t>In-Network</t>
        </is>
      </c>
      <c r="J169" s="4" t="inlineStr">
        <is>
          <t>No</t>
        </is>
      </c>
    </row>
    <row r="170">
      <c r="A170" s="4" t="n">
        <v>1235700345</v>
      </c>
      <c r="B170" s="4" t="inlineStr">
        <is>
          <t>Emily Acosta, APRN</t>
        </is>
      </c>
      <c r="C170" s="4" t="inlineStr">
        <is>
          <t>Nurse Practitioner, Family</t>
        </is>
      </c>
      <c r="D170" s="4" t="inlineStr">
        <is>
          <t>5190 S John Young Pkwy</t>
        </is>
      </c>
      <c r="E170" s="4" t="inlineStr">
        <is>
          <t>Orlando</t>
        </is>
      </c>
      <c r="F170" s="4" t="inlineStr">
        <is>
          <t>FL</t>
        </is>
      </c>
      <c r="G170" s="4" t="inlineStr">
        <is>
          <t>32839</t>
        </is>
      </c>
      <c r="H170" s="4" t="inlineStr">
        <is>
          <t>844-665-4827</t>
        </is>
      </c>
      <c r="I170" s="4" t="inlineStr">
        <is>
          <t>In-Network</t>
        </is>
      </c>
      <c r="J170" s="4" t="inlineStr">
        <is>
          <t>No</t>
        </is>
      </c>
    </row>
    <row r="171">
      <c r="A171" s="4" t="n">
        <v>1922532738</v>
      </c>
      <c r="B171" s="4" t="inlineStr">
        <is>
          <t>Luis Acosta Gonzalez, APRN</t>
        </is>
      </c>
      <c r="C171" s="4" t="inlineStr">
        <is>
          <t>Nurse Practitioner, Family</t>
        </is>
      </c>
      <c r="D171" s="4" t="inlineStr">
        <is>
          <t>1501 S Semoran Blvd</t>
        </is>
      </c>
      <c r="E171" s="4" t="inlineStr">
        <is>
          <t>Orlando</t>
        </is>
      </c>
      <c r="F171" s="4" t="inlineStr">
        <is>
          <t>FL</t>
        </is>
      </c>
      <c r="G171" s="4" t="inlineStr">
        <is>
          <t>32807</t>
        </is>
      </c>
      <c r="H171" s="4" t="inlineStr">
        <is>
          <t>407-587-7552</t>
        </is>
      </c>
      <c r="I171" s="4" t="inlineStr">
        <is>
          <t>In-Network</t>
        </is>
      </c>
      <c r="J171" s="4" t="inlineStr">
        <is>
          <t>Yes</t>
        </is>
      </c>
    </row>
    <row r="172">
      <c r="A172" s="4" t="n">
        <v>1679883441</v>
      </c>
      <c r="B172" s="4" t="inlineStr">
        <is>
          <t>Harold Acosta, DMD</t>
        </is>
      </c>
      <c r="C172" s="4" t="inlineStr">
        <is>
          <t>Dentist</t>
        </is>
      </c>
      <c r="D172" s="4" t="inlineStr">
        <is>
          <t>4426 Old Winter Garden Rd</t>
        </is>
      </c>
      <c r="E172" s="4" t="inlineStr">
        <is>
          <t>Orlando</t>
        </is>
      </c>
      <c r="F172" s="4" t="inlineStr">
        <is>
          <t>FL</t>
        </is>
      </c>
      <c r="G172" s="4" t="inlineStr">
        <is>
          <t>32811</t>
        </is>
      </c>
      <c r="H172" s="4" t="inlineStr">
        <is>
          <t>407-428-5751</t>
        </is>
      </c>
      <c r="I172" s="4" t="inlineStr">
        <is>
          <t>In-Network</t>
        </is>
      </c>
      <c r="J172" s="4" t="inlineStr">
        <is>
          <t>Yes</t>
        </is>
      </c>
    </row>
    <row r="173">
      <c r="A173" s="4" t="n">
        <v>1881022531</v>
      </c>
      <c r="B173" s="4" t="inlineStr">
        <is>
          <t>Ingrid Acosta, B.A.</t>
        </is>
      </c>
      <c r="C173" s="4" t="inlineStr">
        <is>
          <t>Specialist/Technologist, Speech-Language Assistant</t>
        </is>
      </c>
      <c r="D173" s="4" t="inlineStr">
        <is>
          <t>1225 Garden Isle Ct Apt A203</t>
        </is>
      </c>
      <c r="E173" s="4" t="inlineStr">
        <is>
          <t>Orlando</t>
        </is>
      </c>
      <c r="F173" s="4" t="inlineStr">
        <is>
          <t>FL</t>
        </is>
      </c>
      <c r="G173" s="4" t="inlineStr">
        <is>
          <t>32824</t>
        </is>
      </c>
      <c r="H173" s="4" t="inlineStr">
        <is>
          <t>407-990-2847</t>
        </is>
      </c>
      <c r="I173" s="4" t="inlineStr">
        <is>
          <t>In-Network</t>
        </is>
      </c>
      <c r="J173" s="4" t="inlineStr">
        <is>
          <t>Yes</t>
        </is>
      </c>
    </row>
    <row r="174">
      <c r="A174" s="4" t="n">
        <v>1548122781</v>
      </c>
      <c r="B174" s="4" t="inlineStr">
        <is>
          <t>Isabella Acosta</t>
        </is>
      </c>
      <c r="C174" s="4" t="inlineStr">
        <is>
          <t>Behavior Technician</t>
        </is>
      </c>
      <c r="D174" s="4" t="inlineStr">
        <is>
          <t>601 S Lake Destiny Rd Ste 350</t>
        </is>
      </c>
      <c r="E174" s="4" t="inlineStr">
        <is>
          <t>Maitland</t>
        </is>
      </c>
      <c r="F174" s="4" t="inlineStr">
        <is>
          <t>FL</t>
        </is>
      </c>
      <c r="G174" s="4" t="inlineStr">
        <is>
          <t>32751</t>
        </is>
      </c>
      <c r="H174" s="4" t="inlineStr">
        <is>
          <t>407-647-6555</t>
        </is>
      </c>
      <c r="I174" s="4" t="inlineStr">
        <is>
          <t>In-Network</t>
        </is>
      </c>
      <c r="J174" s="4" t="inlineStr">
        <is>
          <t>No</t>
        </is>
      </c>
    </row>
    <row r="175">
      <c r="A175" s="4" t="n">
        <v>1477639409</v>
      </c>
      <c r="B175" s="4" t="inlineStr">
        <is>
          <t>Jason Acosta, M.D.</t>
        </is>
      </c>
      <c r="C175" s="4" t="inlineStr">
        <is>
          <t>Anesthesiology</t>
        </is>
      </c>
      <c r="D175" s="4" t="inlineStr">
        <is>
          <t>601 E Rollins St</t>
        </is>
      </c>
      <c r="E175" s="4" t="inlineStr">
        <is>
          <t>Orlando</t>
        </is>
      </c>
      <c r="F175" s="4" t="inlineStr">
        <is>
          <t>FL</t>
        </is>
      </c>
      <c r="G175" s="4" t="inlineStr">
        <is>
          <t>32803</t>
        </is>
      </c>
      <c r="H175" s="4" t="inlineStr">
        <is>
          <t>407-667-0444</t>
        </is>
      </c>
      <c r="I175" s="4" t="inlineStr">
        <is>
          <t>Out-of-Network</t>
        </is>
      </c>
      <c r="J175" s="4" t="inlineStr">
        <is>
          <t>Yes</t>
        </is>
      </c>
    </row>
    <row r="176">
      <c r="A176" s="4" t="n">
        <v>1619332491</v>
      </c>
      <c r="B176" s="4" t="inlineStr">
        <is>
          <t>Joanna Acosta</t>
        </is>
      </c>
      <c r="C176" s="4" t="inlineStr">
        <is>
          <t>Behavior Analyst</t>
        </is>
      </c>
      <c r="D176" s="4" t="inlineStr">
        <is>
          <t>3020 Lamberton Blvd Ste 107</t>
        </is>
      </c>
      <c r="E176" s="4" t="inlineStr">
        <is>
          <t>Orlando</t>
        </is>
      </c>
      <c r="F176" s="4" t="inlineStr">
        <is>
          <t>FL</t>
        </is>
      </c>
      <c r="G176" s="4" t="inlineStr">
        <is>
          <t>32825</t>
        </is>
      </c>
      <c r="H176" s="4" t="inlineStr">
        <is>
          <t>407-490-2986</t>
        </is>
      </c>
      <c r="I176" s="4" t="inlineStr">
        <is>
          <t>In-Network</t>
        </is>
      </c>
      <c r="J176" s="4" t="inlineStr">
        <is>
          <t>Yes</t>
        </is>
      </c>
    </row>
    <row r="177">
      <c r="A177" s="4" t="n">
        <v>1730164377</v>
      </c>
      <c r="B177" s="4" t="inlineStr">
        <is>
          <t>Jorge Acosta, M.D.</t>
        </is>
      </c>
      <c r="C177" s="4" t="inlineStr">
        <is>
          <t>Anesthesiology</t>
        </is>
      </c>
      <c r="D177" s="4" t="inlineStr">
        <is>
          <t>119 Oakfield Dr</t>
        </is>
      </c>
      <c r="E177" s="4" t="inlineStr">
        <is>
          <t>Brandon</t>
        </is>
      </c>
      <c r="F177" s="4" t="inlineStr">
        <is>
          <t>FL</t>
        </is>
      </c>
      <c r="G177" s="4" t="inlineStr">
        <is>
          <t>33511</t>
        </is>
      </c>
      <c r="H177" s="4" t="inlineStr">
        <is>
          <t>813-985-5992</t>
        </is>
      </c>
      <c r="I177" s="4" t="inlineStr">
        <is>
          <t>Out-of-Network</t>
        </is>
      </c>
      <c r="J177" s="4" t="inlineStr">
        <is>
          <t>Yes</t>
        </is>
      </c>
    </row>
    <row r="178">
      <c r="A178" s="4" t="n">
        <v>1932423555</v>
      </c>
      <c r="B178" s="4" t="inlineStr">
        <is>
          <t>Joyce Acosta, D.C.</t>
        </is>
      </c>
      <c r="C178" s="4" t="inlineStr">
        <is>
          <t>Chiropractor</t>
        </is>
      </c>
      <c r="D178" s="4" t="inlineStr">
        <is>
          <t>6030 Hollywood Blvd</t>
        </is>
      </c>
      <c r="E178" s="4" t="inlineStr">
        <is>
          <t>Hollywood</t>
        </is>
      </c>
      <c r="F178" s="4" t="inlineStr">
        <is>
          <t>FL</t>
        </is>
      </c>
      <c r="G178" s="4" t="inlineStr">
        <is>
          <t>33024</t>
        </is>
      </c>
      <c r="H178" s="4" t="inlineStr">
        <is>
          <t>954-962-9525</t>
        </is>
      </c>
      <c r="I178" s="4" t="inlineStr">
        <is>
          <t>Out-of-Network</t>
        </is>
      </c>
      <c r="J178" s="4" t="inlineStr">
        <is>
          <t>Yes</t>
        </is>
      </c>
    </row>
    <row r="179">
      <c r="A179" s="4" t="n">
        <v>1124744305</v>
      </c>
      <c r="B179" s="4" t="inlineStr">
        <is>
          <t>Karol Acosta, OTR/L</t>
        </is>
      </c>
      <c r="C179" s="4" t="inlineStr">
        <is>
          <t>Occupational Therapist, Physical Rehabilitation</t>
        </is>
      </c>
      <c r="D179" s="4" t="inlineStr">
        <is>
          <t>558 N Semoran Blvd</t>
        </is>
      </c>
      <c r="E179" s="4" t="inlineStr">
        <is>
          <t>Winter Park</t>
        </is>
      </c>
      <c r="F179" s="4" t="inlineStr">
        <is>
          <t>FL</t>
        </is>
      </c>
      <c r="G179" s="4" t="inlineStr">
        <is>
          <t>32792</t>
        </is>
      </c>
      <c r="H179" s="4" t="inlineStr">
        <is>
          <t>407-679-1515</t>
        </is>
      </c>
      <c r="I179" s="4" t="inlineStr">
        <is>
          <t>Out-of-Network</t>
        </is>
      </c>
      <c r="J179" s="4" t="inlineStr">
        <is>
          <t>Yes</t>
        </is>
      </c>
    </row>
    <row r="180">
      <c r="A180" s="4" t="n">
        <v>1881195089</v>
      </c>
      <c r="B180" s="4" t="inlineStr">
        <is>
          <t>Kimberly Acosta, OTR/L</t>
        </is>
      </c>
      <c r="C180" s="4" t="inlineStr">
        <is>
          <t>Occupational Therapist</t>
        </is>
      </c>
      <c r="D180" s="4" t="inlineStr">
        <is>
          <t>2503 S Mills Ave</t>
        </is>
      </c>
      <c r="E180" s="4" t="inlineStr">
        <is>
          <t>Orlando</t>
        </is>
      </c>
      <c r="F180" s="4" t="inlineStr">
        <is>
          <t>FL</t>
        </is>
      </c>
      <c r="G180" s="4" t="inlineStr">
        <is>
          <t>32806</t>
        </is>
      </c>
      <c r="H180" s="4" t="inlineStr">
        <is>
          <t>305-733-7218</t>
        </is>
      </c>
      <c r="I180" s="4" t="inlineStr">
        <is>
          <t>Out-of-Network</t>
        </is>
      </c>
      <c r="J180" s="4" t="inlineStr">
        <is>
          <t>Yes</t>
        </is>
      </c>
    </row>
    <row r="181">
      <c r="A181" s="4" t="n">
        <v>1417032988</v>
      </c>
      <c r="B181" s="4" t="inlineStr">
        <is>
          <t>Lorena Acosta, MD</t>
        </is>
      </c>
      <c r="C181" s="4" t="inlineStr">
        <is>
          <t>Pediatrics</t>
        </is>
      </c>
      <c r="D181" s="4" t="inlineStr">
        <is>
          <t>200 E Marks St</t>
        </is>
      </c>
      <c r="E181" s="4" t="inlineStr">
        <is>
          <t>Orlando</t>
        </is>
      </c>
      <c r="F181" s="4" t="inlineStr">
        <is>
          <t>FL</t>
        </is>
      </c>
      <c r="G181" s="4" t="inlineStr">
        <is>
          <t>32803</t>
        </is>
      </c>
      <c r="H181" s="4" t="inlineStr">
        <is>
          <t>407-284-6460</t>
        </is>
      </c>
      <c r="I181" s="4" t="inlineStr">
        <is>
          <t>In-Network</t>
        </is>
      </c>
      <c r="J181" s="4" t="inlineStr">
        <is>
          <t>Yes</t>
        </is>
      </c>
    </row>
    <row r="182">
      <c r="A182" s="4" t="n">
        <v>1912336520</v>
      </c>
      <c r="B182" s="4" t="inlineStr">
        <is>
          <t>Wendy Acosta Luna, APRN</t>
        </is>
      </c>
      <c r="C182" s="4" t="inlineStr">
        <is>
          <t>Nurse Practitioner, Family</t>
        </is>
      </c>
      <c r="D182" s="4" t="inlineStr">
        <is>
          <t>258 S Chickasaw Trl Ste 200</t>
        </is>
      </c>
      <c r="E182" s="4" t="inlineStr">
        <is>
          <t>Orlando</t>
        </is>
      </c>
      <c r="F182" s="4" t="inlineStr">
        <is>
          <t>FL</t>
        </is>
      </c>
      <c r="G182" s="4" t="inlineStr">
        <is>
          <t>32825</t>
        </is>
      </c>
      <c r="H182" s="4" t="inlineStr">
        <is>
          <t>407-303-6865</t>
        </is>
      </c>
      <c r="I182" s="4" t="inlineStr">
        <is>
          <t>In-Network</t>
        </is>
      </c>
      <c r="J182" s="4" t="inlineStr">
        <is>
          <t>Yes</t>
        </is>
      </c>
    </row>
    <row r="183">
      <c r="A183" s="4" t="n">
        <v>1285443861</v>
      </c>
      <c r="B183" s="4" t="inlineStr">
        <is>
          <t>Luz Acosta, AGACNP-BC</t>
        </is>
      </c>
      <c r="C183" s="4" t="inlineStr">
        <is>
          <t>Nurse Practitioner</t>
        </is>
      </c>
      <c r="D183" s="4" t="inlineStr">
        <is>
          <t>3901 E Colonial Dr Fl 32803</t>
        </is>
      </c>
      <c r="E183" s="4" t="inlineStr">
        <is>
          <t>Orlando</t>
        </is>
      </c>
      <c r="F183" s="4" t="inlineStr">
        <is>
          <t>FL</t>
        </is>
      </c>
      <c r="G183" s="4" t="inlineStr">
        <is>
          <t>32803</t>
        </is>
      </c>
      <c r="H183" s="4" t="inlineStr">
        <is>
          <t>407-652-3015</t>
        </is>
      </c>
      <c r="I183" s="4" t="inlineStr">
        <is>
          <t>In-Network</t>
        </is>
      </c>
      <c r="J183" s="4" t="inlineStr">
        <is>
          <t>Yes</t>
        </is>
      </c>
    </row>
    <row r="184">
      <c r="A184" s="4" t="n">
        <v>1538964804</v>
      </c>
      <c r="B184" s="4" t="inlineStr">
        <is>
          <t>Michael Acosta, PT</t>
        </is>
      </c>
      <c r="C184" s="4" t="inlineStr">
        <is>
          <t>Physical Therapist, Orthopedic</t>
        </is>
      </c>
      <c r="D184" s="4" t="inlineStr">
        <is>
          <t>60 Columbia St</t>
        </is>
      </c>
      <c r="E184" s="4" t="inlineStr">
        <is>
          <t>Orlando</t>
        </is>
      </c>
      <c r="F184" s="4" t="inlineStr">
        <is>
          <t>FL</t>
        </is>
      </c>
      <c r="G184" s="4" t="inlineStr">
        <is>
          <t>32806</t>
        </is>
      </c>
      <c r="H184" s="4" t="inlineStr">
        <is>
          <t>407-515-2420</t>
        </is>
      </c>
      <c r="I184" s="4" t="inlineStr">
        <is>
          <t>In-Network</t>
        </is>
      </c>
      <c r="J184" s="4" t="inlineStr">
        <is>
          <t>Yes</t>
        </is>
      </c>
    </row>
    <row r="185">
      <c r="A185" s="4" t="n">
        <v>1568333698</v>
      </c>
      <c r="B185" s="4" t="inlineStr">
        <is>
          <t>Natalie Acosta</t>
        </is>
      </c>
      <c r="C185" s="4" t="inlineStr">
        <is>
          <t>Behavior Technician</t>
        </is>
      </c>
      <c r="D185" s="4" t="inlineStr">
        <is>
          <t>3210 Corrine Dr</t>
        </is>
      </c>
      <c r="E185" s="4" t="inlineStr">
        <is>
          <t>Orlando</t>
        </is>
      </c>
      <c r="F185" s="4" t="inlineStr">
        <is>
          <t>FL</t>
        </is>
      </c>
      <c r="G185" s="4" t="inlineStr">
        <is>
          <t>32803</t>
        </is>
      </c>
      <c r="H185" s="4" t="inlineStr">
        <is>
          <t>855-295-3276</t>
        </is>
      </c>
      <c r="I185" s="4" t="inlineStr">
        <is>
          <t>In-Network</t>
        </is>
      </c>
      <c r="J185" s="4" t="inlineStr">
        <is>
          <t>Yes</t>
        </is>
      </c>
    </row>
    <row r="186">
      <c r="A186" s="4" t="n">
        <v>1306013222</v>
      </c>
      <c r="B186" s="4" t="inlineStr">
        <is>
          <t>Rita Acosta, M.D.</t>
        </is>
      </c>
      <c r="C186" s="4" t="inlineStr">
        <is>
          <t>Internal Medicine, Hepatology</t>
        </is>
      </c>
      <c r="D186" s="4" t="inlineStr">
        <is>
          <t>1621 Spring Lake Dr</t>
        </is>
      </c>
      <c r="E186" s="4" t="inlineStr">
        <is>
          <t>Orlando</t>
        </is>
      </c>
      <c r="F186" s="4" t="inlineStr">
        <is>
          <t>FL</t>
        </is>
      </c>
      <c r="G186" s="4" t="inlineStr">
        <is>
          <t>32804</t>
        </is>
      </c>
      <c r="H186" s="4" t="inlineStr">
        <is>
          <t>407-864-5559</t>
        </is>
      </c>
      <c r="I186" s="4" t="inlineStr">
        <is>
          <t>In-Network</t>
        </is>
      </c>
      <c r="J186" s="4" t="inlineStr">
        <is>
          <t>No</t>
        </is>
      </c>
    </row>
    <row r="187">
      <c r="A187" s="4" t="n">
        <v>1013904481</v>
      </c>
      <c r="B187" s="4" t="inlineStr">
        <is>
          <t>Said Acosta, CRNA</t>
        </is>
      </c>
      <c r="C187" s="4" t="inlineStr">
        <is>
          <t>Nurse Anesthetist, Certified Registered</t>
        </is>
      </c>
      <c r="D187" s="4" t="inlineStr">
        <is>
          <t>13535 Nemours Pkwy</t>
        </is>
      </c>
      <c r="E187" s="4" t="inlineStr">
        <is>
          <t>Orlando</t>
        </is>
      </c>
      <c r="F187" s="4" t="inlineStr">
        <is>
          <t>FL</t>
        </is>
      </c>
      <c r="G187" s="4" t="inlineStr">
        <is>
          <t>32827</t>
        </is>
      </c>
      <c r="H187" s="4" t="inlineStr">
        <is>
          <t>407-567-4000</t>
        </is>
      </c>
      <c r="I187" s="4" t="inlineStr">
        <is>
          <t>In-Network</t>
        </is>
      </c>
      <c r="J187" s="4" t="inlineStr">
        <is>
          <t>Yes</t>
        </is>
      </c>
    </row>
    <row r="188">
      <c r="A188" s="4" t="n">
        <v>1063013845</v>
      </c>
      <c r="B188" s="4" t="inlineStr">
        <is>
          <t>Samuel Acosta</t>
        </is>
      </c>
      <c r="C188" s="4" t="inlineStr">
        <is>
          <t>Nurse Practitioner</t>
        </is>
      </c>
      <c r="D188" s="4" t="inlineStr">
        <is>
          <t>601 E Rollins St</t>
        </is>
      </c>
      <c r="E188" s="4" t="inlineStr">
        <is>
          <t>Orlando</t>
        </is>
      </c>
      <c r="F188" s="4" t="inlineStr">
        <is>
          <t>FL</t>
        </is>
      </c>
      <c r="G188" s="4" t="inlineStr">
        <is>
          <t>32803</t>
        </is>
      </c>
      <c r="H188" s="4" t="inlineStr">
        <is>
          <t>407-303-5600</t>
        </is>
      </c>
      <c r="I188" s="4" t="inlineStr">
        <is>
          <t>In-Network</t>
        </is>
      </c>
      <c r="J188" s="4" t="inlineStr">
        <is>
          <t>Yes</t>
        </is>
      </c>
    </row>
    <row r="189">
      <c r="A189" s="4" t="n">
        <v>1831540426</v>
      </c>
      <c r="B189" s="4" t="inlineStr">
        <is>
          <t>Israel Acosta Sanchez, M.D.</t>
        </is>
      </c>
      <c r="C189" s="4" t="inlineStr">
        <is>
          <t>Internal Medicine, Pulmonary Disease</t>
        </is>
      </c>
      <c r="D189" s="4" t="inlineStr">
        <is>
          <t>1120 15Th St</t>
        </is>
      </c>
      <c r="E189" s="4" t="inlineStr">
        <is>
          <t>Augusta</t>
        </is>
      </c>
      <c r="F189" s="4" t="inlineStr">
        <is>
          <t>GA</t>
        </is>
      </c>
      <c r="G189" s="4" t="inlineStr">
        <is>
          <t>30912</t>
        </is>
      </c>
      <c r="H189" s="4" t="inlineStr">
        <is>
          <t>706-721-8623</t>
        </is>
      </c>
      <c r="I189" s="4" t="inlineStr">
        <is>
          <t>In-Network</t>
        </is>
      </c>
      <c r="J189" s="4" t="inlineStr">
        <is>
          <t>Yes</t>
        </is>
      </c>
    </row>
    <row r="190">
      <c r="A190" s="4" t="n">
        <v>1093478828</v>
      </c>
      <c r="B190" s="4" t="inlineStr">
        <is>
          <t>Shermaine Acosta, APRN</t>
        </is>
      </c>
      <c r="C190" s="4" t="inlineStr">
        <is>
          <t>Nurse Practitioner, Adult Health</t>
        </is>
      </c>
      <c r="D190" s="4" t="inlineStr">
        <is>
          <t>17000 Porter Rd</t>
        </is>
      </c>
      <c r="E190" s="4" t="inlineStr">
        <is>
          <t>Winter Garden</t>
        </is>
      </c>
      <c r="F190" s="4" t="inlineStr">
        <is>
          <t>FL</t>
        </is>
      </c>
      <c r="G190" s="4" t="inlineStr">
        <is>
          <t>34787</t>
        </is>
      </c>
      <c r="H190" s="4" t="inlineStr">
        <is>
          <t>407-648-5384</t>
        </is>
      </c>
      <c r="I190" s="4" t="inlineStr">
        <is>
          <t>In-Network</t>
        </is>
      </c>
      <c r="J190" s="4" t="inlineStr">
        <is>
          <t>Yes</t>
        </is>
      </c>
    </row>
    <row r="191">
      <c r="A191" s="4" t="n">
        <v>1255773586</v>
      </c>
      <c r="B191" s="4" t="inlineStr">
        <is>
          <t>Valerie Acosta, Psy.D</t>
        </is>
      </c>
      <c r="C191" s="4" t="inlineStr">
        <is>
          <t>Psychologist, Clinical</t>
        </is>
      </c>
      <c r="D191" s="4" t="inlineStr">
        <is>
          <t>4700 Millenia Blvd Ste 500</t>
        </is>
      </c>
      <c r="E191" s="4" t="inlineStr">
        <is>
          <t>Orlando</t>
        </is>
      </c>
      <c r="F191" s="4" t="inlineStr">
        <is>
          <t>FL</t>
        </is>
      </c>
      <c r="G191" s="4" t="inlineStr">
        <is>
          <t>32839</t>
        </is>
      </c>
      <c r="H191" s="4" t="inlineStr">
        <is>
          <t>813-467-6111</t>
        </is>
      </c>
      <c r="I191" s="4" t="inlineStr">
        <is>
          <t>In-Network</t>
        </is>
      </c>
      <c r="J191" s="4" t="inlineStr">
        <is>
          <t>No</t>
        </is>
      </c>
    </row>
    <row r="192">
      <c r="A192" s="4" t="n">
        <v>1174381305</v>
      </c>
      <c r="B192" s="4" t="inlineStr">
        <is>
          <t>Melany Acosta Vazquez</t>
        </is>
      </c>
      <c r="C192" s="4" t="inlineStr">
        <is>
          <t>Behavior Technician</t>
        </is>
      </c>
      <c r="D192" s="4" t="inlineStr">
        <is>
          <t>4540 Commander Dr</t>
        </is>
      </c>
      <c r="E192" s="4" t="inlineStr">
        <is>
          <t>Orlando</t>
        </is>
      </c>
      <c r="F192" s="4" t="inlineStr">
        <is>
          <t>FL</t>
        </is>
      </c>
      <c r="G192" s="4" t="inlineStr">
        <is>
          <t>32822</t>
        </is>
      </c>
      <c r="H192" s="4" t="inlineStr">
        <is>
          <t>321-261-6501</t>
        </is>
      </c>
      <c r="I192" s="4" t="inlineStr">
        <is>
          <t>In-Network</t>
        </is>
      </c>
      <c r="J192" s="4" t="inlineStr">
        <is>
          <t>Yes</t>
        </is>
      </c>
    </row>
    <row r="193">
      <c r="A193" s="4" t="n">
        <v>1548428501</v>
      </c>
      <c r="B193" s="4" t="inlineStr">
        <is>
          <t>Veronica Acosta, M.D.</t>
        </is>
      </c>
      <c r="C193" s="4" t="inlineStr">
        <is>
          <t>Internal Medicine</t>
        </is>
      </c>
      <c r="D193" s="4" t="inlineStr">
        <is>
          <t>86 W Underwood St</t>
        </is>
      </c>
      <c r="E193" s="4" t="inlineStr">
        <is>
          <t>Orlando</t>
        </is>
      </c>
      <c r="F193" s="4" t="inlineStr">
        <is>
          <t>FL</t>
        </is>
      </c>
      <c r="G193" s="4" t="inlineStr">
        <is>
          <t>32806</t>
        </is>
      </c>
      <c r="H193" s="4" t="inlineStr">
        <is>
          <t>888-912-3648</t>
        </is>
      </c>
      <c r="I193" s="4" t="inlineStr">
        <is>
          <t>In-Network</t>
        </is>
      </c>
      <c r="J193" s="4" t="inlineStr">
        <is>
          <t>Yes</t>
        </is>
      </c>
    </row>
    <row r="194">
      <c r="A194" s="4" t="n">
        <v>1326677592</v>
      </c>
      <c r="B194" s="4" t="inlineStr">
        <is>
          <t>William Acuna</t>
        </is>
      </c>
      <c r="C194" s="4" t="inlineStr">
        <is>
          <t>Psychologist, Cognitive &amp; Behavioral</t>
        </is>
      </c>
      <c r="D194" s="4" t="inlineStr">
        <is>
          <t>518 Peachtree Rd</t>
        </is>
      </c>
      <c r="E194" s="4" t="inlineStr">
        <is>
          <t>Orlando</t>
        </is>
      </c>
      <c r="F194" s="4" t="inlineStr">
        <is>
          <t>FL</t>
        </is>
      </c>
      <c r="G194" s="4" t="inlineStr">
        <is>
          <t>32804</t>
        </is>
      </c>
      <c r="H194" s="4" t="inlineStr">
        <is>
          <t>407-730-7983</t>
        </is>
      </c>
      <c r="I194" s="4" t="inlineStr">
        <is>
          <t>In-Network</t>
        </is>
      </c>
      <c r="J194" s="4" t="inlineStr">
        <is>
          <t>Yes</t>
        </is>
      </c>
    </row>
    <row r="195">
      <c r="A195" s="4" t="n">
        <v>1356756175</v>
      </c>
      <c r="B195" s="4" t="inlineStr">
        <is>
          <t>Erik Adair, D.O.</t>
        </is>
      </c>
      <c r="C195" s="4" t="inlineStr">
        <is>
          <t>Pediatrics, Pediatric Emergency Medicine</t>
        </is>
      </c>
      <c r="D195" s="4" t="inlineStr">
        <is>
          <t>1200 Pleasant St</t>
        </is>
      </c>
      <c r="E195" s="4" t="inlineStr">
        <is>
          <t>Des Moines</t>
        </is>
      </c>
      <c r="F195" s="4" t="inlineStr">
        <is>
          <t>IA</t>
        </is>
      </c>
      <c r="G195" s="4" t="inlineStr">
        <is>
          <t>50309</t>
        </is>
      </c>
      <c r="H195" s="4" t="inlineStr">
        <is>
          <t>515-241-5437</t>
        </is>
      </c>
      <c r="I195" s="4" t="inlineStr">
        <is>
          <t>In-Network</t>
        </is>
      </c>
      <c r="J195" s="4" t="inlineStr">
        <is>
          <t>Yes</t>
        </is>
      </c>
    </row>
    <row r="196">
      <c r="A196" s="4" t="n">
        <v>1679064331</v>
      </c>
      <c r="B196" s="4" t="inlineStr">
        <is>
          <t>Lauren Adair, RBT</t>
        </is>
      </c>
      <c r="C196" s="4" t="inlineStr">
        <is>
          <t>Behavior Analyst</t>
        </is>
      </c>
      <c r="D196" s="4" t="inlineStr">
        <is>
          <t>907 Outer Rd Ste B</t>
        </is>
      </c>
      <c r="E196" s="4" t="inlineStr">
        <is>
          <t>Orlando</t>
        </is>
      </c>
      <c r="F196" s="4" t="inlineStr">
        <is>
          <t>FL</t>
        </is>
      </c>
      <c r="G196" s="4" t="inlineStr">
        <is>
          <t>32814</t>
        </is>
      </c>
      <c r="H196" s="4" t="inlineStr">
        <is>
          <t>855-832-6727</t>
        </is>
      </c>
      <c r="I196" s="4" t="inlineStr">
        <is>
          <t>Out-of-Network</t>
        </is>
      </c>
      <c r="J196" s="4" t="inlineStr">
        <is>
          <t>Yes</t>
        </is>
      </c>
    </row>
    <row r="197">
      <c r="A197" s="4" t="n">
        <v>1639011414</v>
      </c>
      <c r="B197" s="4" t="inlineStr">
        <is>
          <t>Vincent Adair, MD</t>
        </is>
      </c>
      <c r="C197" s="4" t="inlineStr">
        <is>
          <t>Student in an Organized Health Care Education/Training Program</t>
        </is>
      </c>
      <c r="D197" s="4" t="inlineStr">
        <is>
          <t>52 Underwood St</t>
        </is>
      </c>
      <c r="E197" s="4" t="inlineStr">
        <is>
          <t>Orlando</t>
        </is>
      </c>
      <c r="F197" s="4" t="inlineStr">
        <is>
          <t>FL</t>
        </is>
      </c>
      <c r="G197" s="4" t="inlineStr">
        <is>
          <t>32806</t>
        </is>
      </c>
      <c r="H197" s="4" t="inlineStr">
        <is>
          <t>321-841-5243</t>
        </is>
      </c>
      <c r="I197" s="4" t="inlineStr">
        <is>
          <t>Out-of-Network</t>
        </is>
      </c>
      <c r="J197" s="4" t="inlineStr">
        <is>
          <t>Yes</t>
        </is>
      </c>
    </row>
    <row r="198">
      <c r="A198" s="4" t="n">
        <v>1568662559</v>
      </c>
      <c r="B198" s="4" t="inlineStr">
        <is>
          <t>Clifford Adam, M.D.</t>
        </is>
      </c>
      <c r="C198" s="4" t="inlineStr">
        <is>
          <t>General Practice</t>
        </is>
      </c>
      <c r="D198" s="4" t="inlineStr">
        <is>
          <t>1261 N Pine Hills Rd</t>
        </is>
      </c>
      <c r="E198" s="4" t="inlineStr">
        <is>
          <t>Orlando</t>
        </is>
      </c>
      <c r="F198" s="4" t="inlineStr">
        <is>
          <t>FL</t>
        </is>
      </c>
      <c r="G198" s="4" t="inlineStr">
        <is>
          <t>32808</t>
        </is>
      </c>
      <c r="H198" s="4" t="inlineStr">
        <is>
          <t>201-450-5221</t>
        </is>
      </c>
      <c r="I198" s="4" t="inlineStr">
        <is>
          <t>In-Network</t>
        </is>
      </c>
      <c r="J198" s="4" t="inlineStr">
        <is>
          <t>Yes</t>
        </is>
      </c>
    </row>
    <row r="199">
      <c r="A199" s="4" t="n">
        <v>1073077467</v>
      </c>
      <c r="B199" s="4" t="inlineStr">
        <is>
          <t>Leah Adam, RN</t>
        </is>
      </c>
      <c r="C199" s="4" t="inlineStr">
        <is>
          <t>Registered Nurse</t>
        </is>
      </c>
      <c r="D199" s="4" t="inlineStr">
        <is>
          <t>University Drive</t>
        </is>
      </c>
      <c r="E199" s="4" t="inlineStr">
        <is>
          <t>Pittsburgh</t>
        </is>
      </c>
      <c r="F199" s="4" t="inlineStr">
        <is>
          <t>PA</t>
        </is>
      </c>
      <c r="G199" s="4" t="inlineStr">
        <is>
          <t>15240</t>
        </is>
      </c>
      <c r="H199" s="4" t="inlineStr">
        <is>
          <t>412-822-2222</t>
        </is>
      </c>
      <c r="I199" s="4" t="inlineStr">
        <is>
          <t>In-Network</t>
        </is>
      </c>
      <c r="J199" s="4" t="inlineStr">
        <is>
          <t>Yes</t>
        </is>
      </c>
    </row>
    <row r="200">
      <c r="A200" s="4" t="n">
        <v>1164797379</v>
      </c>
      <c r="B200" s="4" t="inlineStr">
        <is>
          <t>Saubira Adam, M.A. CCC-SLP</t>
        </is>
      </c>
      <c r="C200" s="4" t="inlineStr">
        <is>
          <t xml:space="preserve">Speech-Language Pathologist,  </t>
        </is>
      </c>
      <c r="D200" s="4" t="inlineStr">
        <is>
          <t>7939 Bear Claw Run</t>
        </is>
      </c>
      <c r="E200" s="4" t="inlineStr">
        <is>
          <t>Orlando</t>
        </is>
      </c>
      <c r="F200" s="4" t="inlineStr">
        <is>
          <t>FL</t>
        </is>
      </c>
      <c r="G200" s="4" t="inlineStr">
        <is>
          <t>32825</t>
        </is>
      </c>
      <c r="H200" s="4" t="inlineStr">
        <is>
          <t>407-967-6727</t>
        </is>
      </c>
      <c r="I200" s="4" t="inlineStr">
        <is>
          <t>In-Network</t>
        </is>
      </c>
      <c r="J200" s="4" t="inlineStr">
        <is>
          <t>Yes</t>
        </is>
      </c>
    </row>
    <row r="201">
      <c r="A201" s="4" t="n">
        <v>1891454823</v>
      </c>
      <c r="B201" s="4" t="inlineStr">
        <is>
          <t>Wescendy Adam</t>
        </is>
      </c>
      <c r="C201" s="4" t="inlineStr">
        <is>
          <t>Social Worker, Clinical</t>
        </is>
      </c>
      <c r="D201" s="4" t="inlineStr">
        <is>
          <t>13803 Amberleigh Rd</t>
        </is>
      </c>
      <c r="E201" s="4" t="inlineStr">
        <is>
          <t>Orlando</t>
        </is>
      </c>
      <c r="F201" s="4" t="inlineStr">
        <is>
          <t>FL</t>
        </is>
      </c>
      <c r="G201" s="4" t="inlineStr">
        <is>
          <t>32837</t>
        </is>
      </c>
      <c r="H201" s="4" t="inlineStr">
        <is>
          <t>407-989-8565</t>
        </is>
      </c>
      <c r="I201" s="4" t="inlineStr">
        <is>
          <t>In-Network</t>
        </is>
      </c>
      <c r="J201" s="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30" customWidth="1" min="4" max="4"/>
    <col width="14" customWidth="1" min="5" max="5"/>
    <col width="7" customWidth="1" min="6" max="6"/>
    <col width="8" customWidth="1" min="7" max="7"/>
    <col width="14" customWidth="1" min="8" max="8"/>
    <col width="15" customWidth="1" min="9" max="9"/>
    <col width="12" customWidth="1" min="10" max="10"/>
  </cols>
  <sheetData>
    <row r="1">
      <c r="A1" s="3" t="inlineStr">
        <is>
          <t>NPI</t>
        </is>
      </c>
      <c r="B1" s="3" t="inlineStr">
        <is>
          <t>Provider Name</t>
        </is>
      </c>
      <c r="C1" s="3" t="inlineStr">
        <is>
          <t>Specialty</t>
        </is>
      </c>
      <c r="D1" s="3" t="inlineStr">
        <is>
          <t>Address Line 1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Zip</t>
        </is>
      </c>
      <c r="H1" s="3" t="inlineStr">
        <is>
          <t>Phone</t>
        </is>
      </c>
      <c r="I1" s="3" t="inlineStr">
        <is>
          <t>Network Status</t>
        </is>
      </c>
      <c r="J1" s="3" t="inlineStr">
        <is>
          <t>Accepting New Patients</t>
        </is>
      </c>
    </row>
    <row r="2">
      <c r="A2" s="4" t="n">
        <v>1497702542</v>
      </c>
      <c r="B2" s="4" t="inlineStr">
        <is>
          <t>Adel Abdalla, M.D.</t>
        </is>
      </c>
      <c r="C2" s="4" t="inlineStr">
        <is>
          <t>Radiology, Diagnostic Radiology</t>
        </is>
      </c>
      <c r="D2" s="4" t="inlineStr">
        <is>
          <t>11253 S Apopka Vineland Rd</t>
        </is>
      </c>
      <c r="E2" s="4" t="inlineStr">
        <is>
          <t>Orlando</t>
        </is>
      </c>
      <c r="F2" s="4" t="inlineStr">
        <is>
          <t>FL</t>
        </is>
      </c>
      <c r="G2" s="4" t="inlineStr">
        <is>
          <t>32836</t>
        </is>
      </c>
      <c r="H2" s="4" t="inlineStr">
        <is>
          <t>407-745-1481</t>
        </is>
      </c>
      <c r="I2" s="4" t="inlineStr">
        <is>
          <t>In-Network</t>
        </is>
      </c>
      <c r="J2" s="4" t="inlineStr">
        <is>
          <t>No</t>
        </is>
      </c>
    </row>
    <row r="3">
      <c r="A3" s="4" t="n">
        <v>1376868315</v>
      </c>
      <c r="B3" s="4" t="inlineStr">
        <is>
          <t>Sasha Abdool, DC</t>
        </is>
      </c>
      <c r="C3" s="4" t="inlineStr">
        <is>
          <t>Chiropractor</t>
        </is>
      </c>
      <c r="D3" s="4" t="inlineStr">
        <is>
          <t>2053 Americana Blvd</t>
        </is>
      </c>
      <c r="E3" s="4" t="inlineStr">
        <is>
          <t>Orlando</t>
        </is>
      </c>
      <c r="F3" s="4" t="inlineStr">
        <is>
          <t>FL</t>
        </is>
      </c>
      <c r="G3" s="4" t="inlineStr">
        <is>
          <t>32839</t>
        </is>
      </c>
      <c r="H3" s="4" t="inlineStr">
        <is>
          <t>407-852-7046</t>
        </is>
      </c>
      <c r="I3" s="4" t="inlineStr">
        <is>
          <t>In-Network</t>
        </is>
      </c>
      <c r="J3" s="4" t="inlineStr">
        <is>
          <t>Yes</t>
        </is>
      </c>
    </row>
    <row r="4">
      <c r="A4" s="4" t="n">
        <v>1275238214</v>
      </c>
      <c r="B4" s="4" t="inlineStr">
        <is>
          <t>Jordan Abney, MD</t>
        </is>
      </c>
      <c r="C4" s="4" t="inlineStr">
        <is>
          <t>Emergency Medicine</t>
        </is>
      </c>
      <c r="D4" s="4" t="inlineStr">
        <is>
          <t>2500 N State St</t>
        </is>
      </c>
      <c r="E4" s="4" t="inlineStr">
        <is>
          <t>Jackson</t>
        </is>
      </c>
      <c r="F4" s="4" t="inlineStr">
        <is>
          <t>MS</t>
        </is>
      </c>
      <c r="G4" s="4" t="inlineStr">
        <is>
          <t>39216</t>
        </is>
      </c>
      <c r="H4" s="4" t="inlineStr">
        <is>
          <t>601-984-1000</t>
        </is>
      </c>
      <c r="I4" s="4" t="inlineStr">
        <is>
          <t>In-Network</t>
        </is>
      </c>
      <c r="J4" s="4" t="inlineStr">
        <is>
          <t>Yes</t>
        </is>
      </c>
    </row>
    <row r="5">
      <c r="A5" s="4" t="n">
        <v>1962348318</v>
      </c>
      <c r="B5" s="4" t="inlineStr">
        <is>
          <t>Valeria Acevedo</t>
        </is>
      </c>
      <c r="C5" s="4" t="inlineStr">
        <is>
          <t>Behavior Technician</t>
        </is>
      </c>
      <c r="D5" s="4" t="inlineStr">
        <is>
          <t>1717 S Orange Ave</t>
        </is>
      </c>
      <c r="E5" s="4" t="inlineStr">
        <is>
          <t>Orlando</t>
        </is>
      </c>
      <c r="F5" s="4" t="inlineStr">
        <is>
          <t>FL</t>
        </is>
      </c>
      <c r="G5" s="4" t="inlineStr">
        <is>
          <t>32806</t>
        </is>
      </c>
      <c r="H5" s="4" t="inlineStr">
        <is>
          <t>689-208-5057</t>
        </is>
      </c>
      <c r="I5" s="4" t="inlineStr">
        <is>
          <t>In-Network</t>
        </is>
      </c>
      <c r="J5" s="4" t="inlineStr">
        <is>
          <t>Yes</t>
        </is>
      </c>
    </row>
    <row r="6">
      <c r="A6" s="4" t="n">
        <v>1457004079</v>
      </c>
      <c r="B6" s="4" t="inlineStr">
        <is>
          <t>Dina Abdel Shafy</t>
        </is>
      </c>
      <c r="C6" s="4" t="inlineStr">
        <is>
          <t>Behavior Technician</t>
        </is>
      </c>
      <c r="D6" s="4" t="inlineStr">
        <is>
          <t>6000 Turkey Lake Rd Ste 114</t>
        </is>
      </c>
      <c r="E6" s="4" t="inlineStr">
        <is>
          <t>Orlando</t>
        </is>
      </c>
      <c r="F6" s="4" t="inlineStr">
        <is>
          <t>FL</t>
        </is>
      </c>
      <c r="G6" s="4" t="inlineStr">
        <is>
          <t>32819</t>
        </is>
      </c>
      <c r="H6" s="4" t="inlineStr">
        <is>
          <t>321-732-3723</t>
        </is>
      </c>
      <c r="I6" s="4" t="inlineStr">
        <is>
          <t>Out-of-Network</t>
        </is>
      </c>
      <c r="J6" s="4" t="inlineStr">
        <is>
          <t>Yes</t>
        </is>
      </c>
    </row>
    <row r="7">
      <c r="A7" s="4" t="n">
        <v>1477639409</v>
      </c>
      <c r="B7" s="4" t="inlineStr">
        <is>
          <t>Jason Acosta, M.D.</t>
        </is>
      </c>
      <c r="C7" s="4" t="inlineStr">
        <is>
          <t>Anesthesiology</t>
        </is>
      </c>
      <c r="D7" s="4" t="inlineStr">
        <is>
          <t>601 E Rollins St</t>
        </is>
      </c>
      <c r="E7" s="4" t="inlineStr">
        <is>
          <t>Orlando</t>
        </is>
      </c>
      <c r="F7" s="4" t="inlineStr">
        <is>
          <t>FL</t>
        </is>
      </c>
      <c r="G7" s="4" t="inlineStr">
        <is>
          <t>32803</t>
        </is>
      </c>
      <c r="H7" s="4" t="inlineStr">
        <is>
          <t>407-667-0444</t>
        </is>
      </c>
      <c r="I7" s="4" t="inlineStr">
        <is>
          <t>Out-of-Network</t>
        </is>
      </c>
      <c r="J7" s="4" t="inlineStr">
        <is>
          <t>Yes</t>
        </is>
      </c>
    </row>
    <row r="8">
      <c r="A8" s="4" t="n">
        <v>1568483808</v>
      </c>
      <c r="B8" s="4" t="inlineStr">
        <is>
          <t>April Ace, J.D., Ph.D.</t>
        </is>
      </c>
      <c r="C8" s="4" t="inlineStr">
        <is>
          <t>Specialist</t>
        </is>
      </c>
      <c r="D8" s="4" t="inlineStr">
        <is>
          <t>5201 Raymond St</t>
        </is>
      </c>
      <c r="E8" s="4" t="inlineStr">
        <is>
          <t>Orlando</t>
        </is>
      </c>
      <c r="F8" s="4" t="inlineStr">
        <is>
          <t>FL</t>
        </is>
      </c>
      <c r="G8" s="4" t="inlineStr">
        <is>
          <t>32803</t>
        </is>
      </c>
      <c r="H8" s="4" t="inlineStr">
        <is>
          <t>321-397-6231</t>
        </is>
      </c>
      <c r="I8" s="4" t="inlineStr">
        <is>
          <t>In-Network</t>
        </is>
      </c>
      <c r="J8" s="4" t="inlineStr">
        <is>
          <t>No</t>
        </is>
      </c>
    </row>
    <row r="9">
      <c r="A9" s="4" t="n">
        <v>1336827575</v>
      </c>
      <c r="B9" s="4" t="inlineStr">
        <is>
          <t>Lisa Abney</t>
        </is>
      </c>
      <c r="C9" s="4" t="inlineStr">
        <is>
          <t>Behavior Technician</t>
        </is>
      </c>
      <c r="D9" s="4" t="inlineStr">
        <is>
          <t>1809 William St</t>
        </is>
      </c>
      <c r="E9" s="4" t="inlineStr">
        <is>
          <t>Fredericksburg</t>
        </is>
      </c>
      <c r="F9" s="4" t="inlineStr">
        <is>
          <t>VA</t>
        </is>
      </c>
      <c r="G9" s="4" t="inlineStr">
        <is>
          <t>22401</t>
        </is>
      </c>
      <c r="H9" s="4" t="inlineStr">
        <is>
          <t>540-922-5821</t>
        </is>
      </c>
      <c r="I9" s="4" t="inlineStr">
        <is>
          <t>In-Network</t>
        </is>
      </c>
      <c r="J9" s="4" t="inlineStr">
        <is>
          <t>Yes</t>
        </is>
      </c>
    </row>
    <row r="10">
      <c r="A10" s="4" t="n">
        <v>1730164377</v>
      </c>
      <c r="B10" s="4" t="inlineStr">
        <is>
          <t>Jorge Acosta, M.D.</t>
        </is>
      </c>
      <c r="C10" s="4" t="inlineStr">
        <is>
          <t>Anesthesiology</t>
        </is>
      </c>
      <c r="D10" s="4" t="inlineStr">
        <is>
          <t>119 Oakfield Dr</t>
        </is>
      </c>
      <c r="E10" s="4" t="inlineStr">
        <is>
          <t>Brandon</t>
        </is>
      </c>
      <c r="F10" s="4" t="inlineStr">
        <is>
          <t>FL</t>
        </is>
      </c>
      <c r="G10" s="4" t="inlineStr">
        <is>
          <t>33511</t>
        </is>
      </c>
      <c r="H10" s="4" t="inlineStr">
        <is>
          <t>813-985-5992</t>
        </is>
      </c>
      <c r="I10" s="4" t="inlineStr">
        <is>
          <t>Out-of-Network</t>
        </is>
      </c>
      <c r="J10" s="4" t="inlineStr">
        <is>
          <t>Yes</t>
        </is>
      </c>
    </row>
    <row r="11">
      <c r="A11" s="4" t="n">
        <v>1578859484</v>
      </c>
      <c r="B11" s="4" t="inlineStr">
        <is>
          <t>Kingsley Abode-Iyamah, M.D.</t>
        </is>
      </c>
      <c r="C11" s="4" t="inlineStr">
        <is>
          <t>Neurological Surgery</t>
        </is>
      </c>
      <c r="D11" s="4" t="inlineStr">
        <is>
          <t>4500 San Pablo Rd S</t>
        </is>
      </c>
      <c r="E11" s="4" t="inlineStr">
        <is>
          <t>Jacksonville</t>
        </is>
      </c>
      <c r="F11" s="4" t="inlineStr">
        <is>
          <t>FL</t>
        </is>
      </c>
      <c r="G11" s="4" t="inlineStr">
        <is>
          <t>32224</t>
        </is>
      </c>
      <c r="H11" s="4" t="inlineStr">
        <is>
          <t>904-953-2000</t>
        </is>
      </c>
      <c r="I11" s="4" t="inlineStr">
        <is>
          <t>In-Network</t>
        </is>
      </c>
      <c r="J11" s="4" t="inlineStr">
        <is>
          <t>No</t>
        </is>
      </c>
    </row>
    <row r="12">
      <c r="A12" s="4" t="n">
        <v>1164797379</v>
      </c>
      <c r="B12" s="4" t="inlineStr">
        <is>
          <t>Saubira Adam, M.A. CCC-SLP</t>
        </is>
      </c>
      <c r="C12" s="4" t="inlineStr">
        <is>
          <t xml:space="preserve">Speech-Language Pathologist,  </t>
        </is>
      </c>
      <c r="D12" s="4" t="inlineStr">
        <is>
          <t>8139 Bear Claw Run</t>
        </is>
      </c>
      <c r="E12" s="4" t="inlineStr">
        <is>
          <t>Orlando</t>
        </is>
      </c>
      <c r="F12" s="4" t="inlineStr">
        <is>
          <t>FL</t>
        </is>
      </c>
      <c r="G12" s="4" t="inlineStr">
        <is>
          <t>32825</t>
        </is>
      </c>
      <c r="H12" s="4" t="inlineStr">
        <is>
          <t>407-967-6727</t>
        </is>
      </c>
      <c r="I12" s="4" t="inlineStr">
        <is>
          <t>In-Network</t>
        </is>
      </c>
      <c r="J12" s="4" t="inlineStr">
        <is>
          <t>No</t>
        </is>
      </c>
    </row>
    <row r="13">
      <c r="A13" s="4" t="n">
        <v>1699729723</v>
      </c>
      <c r="B13" s="4" t="inlineStr">
        <is>
          <t>Syed Abbas, md</t>
        </is>
      </c>
      <c r="C13" s="4" t="inlineStr">
        <is>
          <t>Internal Medicine, Cardiovascular Disease</t>
        </is>
      </c>
      <c r="D13" s="4" t="inlineStr">
        <is>
          <t>5201 Raymond St</t>
        </is>
      </c>
      <c r="E13" s="4" t="inlineStr">
        <is>
          <t>Orlando</t>
        </is>
      </c>
      <c r="F13" s="4" t="inlineStr">
        <is>
          <t>FL</t>
        </is>
      </c>
      <c r="G13" s="4" t="inlineStr">
        <is>
          <t>32803</t>
        </is>
      </c>
      <c r="H13" s="4" t="inlineStr">
        <is>
          <t>407-629-1599</t>
        </is>
      </c>
      <c r="I13" s="4" t="inlineStr">
        <is>
          <t>In-Network</t>
        </is>
      </c>
      <c r="J13" s="4" t="inlineStr">
        <is>
          <t>No</t>
        </is>
      </c>
    </row>
    <row r="14">
      <c r="A14" s="4" t="n">
        <v>1104353168</v>
      </c>
      <c r="B14" s="4" t="inlineStr">
        <is>
          <t>Summer Abukhodeir</t>
        </is>
      </c>
      <c r="C14" s="4" t="inlineStr">
        <is>
          <t>Nurse Practitioner, Acute Care</t>
        </is>
      </c>
      <c r="D14" s="4" t="inlineStr">
        <is>
          <t>858 Redwood Way</t>
        </is>
      </c>
      <c r="E14" s="4" t="inlineStr">
        <is>
          <t>Lake Wales</t>
        </is>
      </c>
      <c r="F14" s="4" t="inlineStr">
        <is>
          <t>FL</t>
        </is>
      </c>
      <c r="G14" s="4" t="inlineStr">
        <is>
          <t>33898</t>
        </is>
      </c>
      <c r="H14" s="4" t="inlineStr">
        <is>
          <t>863-232-7604</t>
        </is>
      </c>
      <c r="I14" s="4" t="inlineStr">
        <is>
          <t>In-Network</t>
        </is>
      </c>
      <c r="J14" s="4" t="inlineStr">
        <is>
          <t>No</t>
        </is>
      </c>
    </row>
    <row r="15">
      <c r="A15" s="4" t="n">
        <v>1154210060</v>
      </c>
      <c r="B15" s="4" t="inlineStr">
        <is>
          <t>Muhammad Awais Bin Abdul Malik, MD</t>
        </is>
      </c>
      <c r="C15" s="4" t="inlineStr">
        <is>
          <t>Student in an Organized Health Care Education/Training Program</t>
        </is>
      </c>
      <c r="D15" s="4" t="inlineStr">
        <is>
          <t>2501 N Orange Ave Ste 235</t>
        </is>
      </c>
      <c r="E15" s="4" t="inlineStr">
        <is>
          <t>Orlando</t>
        </is>
      </c>
      <c r="F15" s="4" t="inlineStr">
        <is>
          <t>FL</t>
        </is>
      </c>
      <c r="G15" s="4" t="inlineStr">
        <is>
          <t>32804</t>
        </is>
      </c>
      <c r="H15" s="4" t="inlineStr">
        <is>
          <t>407-303-7270</t>
        </is>
      </c>
      <c r="I15" s="4" t="inlineStr">
        <is>
          <t>In-Network</t>
        </is>
      </c>
      <c r="J15" s="4" t="inlineStr">
        <is>
          <t>No</t>
        </is>
      </c>
    </row>
    <row r="16">
      <c r="A16" s="4" t="n">
        <v>1922803683</v>
      </c>
      <c r="B16" s="4" t="inlineStr">
        <is>
          <t>Mercedes Abrante</t>
        </is>
      </c>
      <c r="C16" s="4" t="inlineStr">
        <is>
          <t>Pharmacist</t>
        </is>
      </c>
      <c r="D16" s="4" t="inlineStr">
        <is>
          <t>9688 Hollyhill Dr</t>
        </is>
      </c>
      <c r="E16" s="4" t="inlineStr">
        <is>
          <t>Orlando</t>
        </is>
      </c>
      <c r="F16" s="4" t="inlineStr">
        <is>
          <t>FL</t>
        </is>
      </c>
      <c r="G16" s="4" t="inlineStr">
        <is>
          <t>32824</t>
        </is>
      </c>
      <c r="H16" s="4" t="inlineStr">
        <is>
          <t>407-709-7527</t>
        </is>
      </c>
      <c r="I16" s="4" t="inlineStr">
        <is>
          <t>In-Network</t>
        </is>
      </c>
      <c r="J16" s="4" t="inlineStr">
        <is>
          <t>Yes</t>
        </is>
      </c>
    </row>
    <row r="17">
      <c r="A17" s="4" t="n">
        <v>1578134383</v>
      </c>
      <c r="B17" s="4" t="inlineStr">
        <is>
          <t>Mariem Abraham</t>
        </is>
      </c>
      <c r="C17" s="4" t="inlineStr">
        <is>
          <t>Chiropractor</t>
        </is>
      </c>
      <c r="D17" s="4" t="inlineStr">
        <is>
          <t>1954 W Sr 426 Ste 1112</t>
        </is>
      </c>
      <c r="E17" s="4" t="inlineStr">
        <is>
          <t>Oviedo</t>
        </is>
      </c>
      <c r="F17" s="4" t="inlineStr">
        <is>
          <t>FL</t>
        </is>
      </c>
      <c r="G17" s="4" t="inlineStr">
        <is>
          <t>32765</t>
        </is>
      </c>
      <c r="H17" s="4" t="inlineStr">
        <is>
          <t>407-723-0090</t>
        </is>
      </c>
      <c r="I17" s="4" t="inlineStr">
        <is>
          <t>In-Network</t>
        </is>
      </c>
      <c r="J17" s="4" t="inlineStr">
        <is>
          <t>Yes</t>
        </is>
      </c>
    </row>
    <row r="18">
      <c r="A18" s="4" t="n">
        <v>1548943632</v>
      </c>
      <c r="B18" s="4" t="inlineStr">
        <is>
          <t>Kayla Acampado</t>
        </is>
      </c>
      <c r="C18" s="4" t="inlineStr">
        <is>
          <t>Pharmacist</t>
        </is>
      </c>
      <c r="D18" s="4" t="inlineStr">
        <is>
          <t>3301 Edgewater Dr</t>
        </is>
      </c>
      <c r="E18" s="4" t="inlineStr">
        <is>
          <t>Orlando</t>
        </is>
      </c>
      <c r="F18" s="4" t="inlineStr">
        <is>
          <t>FL</t>
        </is>
      </c>
      <c r="G18" s="4" t="inlineStr">
        <is>
          <t>32804</t>
        </is>
      </c>
      <c r="H18" s="4" t="inlineStr">
        <is>
          <t>407-649-7859</t>
        </is>
      </c>
      <c r="I18" s="4" t="inlineStr">
        <is>
          <t>Out-of-Network</t>
        </is>
      </c>
      <c r="J18" s="4" t="inlineStr">
        <is>
          <t>No</t>
        </is>
      </c>
    </row>
    <row r="19">
      <c r="A19" s="4" t="n">
        <v>1427600477</v>
      </c>
      <c r="B19" s="4" t="inlineStr">
        <is>
          <t>Lisa Abraham</t>
        </is>
      </c>
      <c r="C19" s="4" t="inlineStr">
        <is>
          <t>Occupational Therapist</t>
        </is>
      </c>
      <c r="D19" s="4" t="inlineStr">
        <is>
          <t>1441 Winter Garden Vineland Rd</t>
        </is>
      </c>
      <c r="E19" s="4" t="inlineStr">
        <is>
          <t>Winter Garden</t>
        </is>
      </c>
      <c r="F19" s="4" t="inlineStr">
        <is>
          <t>FL</t>
        </is>
      </c>
      <c r="G19" s="4" t="inlineStr">
        <is>
          <t>34787</t>
        </is>
      </c>
      <c r="H19" s="4" t="inlineStr">
        <is>
          <t>407-852-3347</t>
        </is>
      </c>
      <c r="I19" s="4" t="inlineStr">
        <is>
          <t>In-Network</t>
        </is>
      </c>
      <c r="J19" s="4" t="inlineStr">
        <is>
          <t>Yes</t>
        </is>
      </c>
    </row>
    <row r="20">
      <c r="A20" s="4" t="n">
        <v>1144066036</v>
      </c>
      <c r="B20" s="4" t="inlineStr">
        <is>
          <t>Ashirbad Acharya, MD</t>
        </is>
      </c>
      <c r="C20" s="4" t="inlineStr">
        <is>
          <t>Student in an Organized Health Care Education/Training Program</t>
        </is>
      </c>
      <c r="D20" s="4" t="inlineStr">
        <is>
          <t>2701 N Orange Ave Ste 235</t>
        </is>
      </c>
      <c r="E20" s="4" t="inlineStr">
        <is>
          <t>Orlando</t>
        </is>
      </c>
      <c r="F20" s="4" t="inlineStr">
        <is>
          <t>FL</t>
        </is>
      </c>
      <c r="G20" s="4" t="inlineStr">
        <is>
          <t>32804</t>
        </is>
      </c>
      <c r="H20" s="4" t="inlineStr">
        <is>
          <t>407-303-7270</t>
        </is>
      </c>
      <c r="I20" s="4" t="inlineStr">
        <is>
          <t>In-Network</t>
        </is>
      </c>
      <c r="J20" s="4" t="inlineStr">
        <is>
          <t>Yes</t>
        </is>
      </c>
    </row>
    <row r="21">
      <c r="A21" s="4" t="n">
        <v>1861762718</v>
      </c>
      <c r="B21" s="4" t="inlineStr">
        <is>
          <t>Lisa Abern, PHMNP-BC, APRN</t>
        </is>
      </c>
      <c r="C21" s="4" t="inlineStr">
        <is>
          <t>Nurse Practitioner, Psych/Mental Health</t>
        </is>
      </c>
      <c r="D21" s="4" t="inlineStr">
        <is>
          <t>1060 Woodcock Rd</t>
        </is>
      </c>
      <c r="E21" s="4" t="inlineStr">
        <is>
          <t>Orlando</t>
        </is>
      </c>
      <c r="F21" s="4" t="inlineStr">
        <is>
          <t>FL</t>
        </is>
      </c>
      <c r="G21" s="4" t="inlineStr">
        <is>
          <t>32803</t>
        </is>
      </c>
      <c r="H21" s="4" t="inlineStr">
        <is>
          <t>954-994-1312</t>
        </is>
      </c>
      <c r="I21" s="4" t="inlineStr">
        <is>
          <t>In-Network</t>
        </is>
      </c>
      <c r="J21" s="4" t="inlineStr">
        <is>
          <t>Yes</t>
        </is>
      </c>
    </row>
    <row r="22">
      <c r="A22" s="4" t="n">
        <v>1326236407</v>
      </c>
      <c r="B22" s="4" t="inlineStr">
        <is>
          <t>Abdellatif Abdelwahab, M.D</t>
        </is>
      </c>
      <c r="C22" s="4" t="inlineStr">
        <is>
          <t>Pediatrics, Neonatal-Perinatal Medicine</t>
        </is>
      </c>
      <c r="D22" s="4" t="inlineStr">
        <is>
          <t>13535 Nemours Pkwy</t>
        </is>
      </c>
      <c r="E22" s="4" t="inlineStr">
        <is>
          <t>Orlando</t>
        </is>
      </c>
      <c r="F22" s="4" t="inlineStr">
        <is>
          <t>FL</t>
        </is>
      </c>
      <c r="G22" s="4" t="inlineStr">
        <is>
          <t>32827</t>
        </is>
      </c>
      <c r="H22" s="4" t="inlineStr">
        <is>
          <t>407-567-4000</t>
        </is>
      </c>
      <c r="I22" s="4" t="inlineStr">
        <is>
          <t>In-Network</t>
        </is>
      </c>
      <c r="J22" s="4" t="inlineStr">
        <is>
          <t>Yes</t>
        </is>
      </c>
    </row>
    <row r="23">
      <c r="A23" s="4" t="n">
        <v>1346813532</v>
      </c>
      <c r="B23" s="4" t="inlineStr">
        <is>
          <t>Lila Abolafia</t>
        </is>
      </c>
      <c r="C23" s="4" t="inlineStr">
        <is>
          <t>Behavior Technician</t>
        </is>
      </c>
      <c r="D23" s="4" t="inlineStr">
        <is>
          <t>8617 E Colonial Dr Ste 1100</t>
        </is>
      </c>
      <c r="E23" s="4" t="inlineStr">
        <is>
          <t>Orlando</t>
        </is>
      </c>
      <c r="F23" s="4" t="inlineStr">
        <is>
          <t>FL</t>
        </is>
      </c>
      <c r="G23" s="4" t="inlineStr">
        <is>
          <t>32817</t>
        </is>
      </c>
      <c r="H23" s="4" t="inlineStr">
        <is>
          <t>407-895-0801</t>
        </is>
      </c>
      <c r="I23" s="4" t="inlineStr">
        <is>
          <t>In-Network</t>
        </is>
      </c>
      <c r="J23" s="4" t="inlineStr">
        <is>
          <t>Yes</t>
        </is>
      </c>
    </row>
    <row r="24">
      <c r="A24" s="4" t="n">
        <v>1609949783</v>
      </c>
      <c r="B24" s="4" t="inlineStr">
        <is>
          <t>Margrette Ackert</t>
        </is>
      </c>
      <c r="C24" s="4" t="inlineStr">
        <is>
          <t>Pharmacist</t>
        </is>
      </c>
      <c r="D24" s="4" t="inlineStr">
        <is>
          <t>601 W Michigan St</t>
        </is>
      </c>
      <c r="E24" s="4" t="inlineStr">
        <is>
          <t>Orlando</t>
        </is>
      </c>
      <c r="F24" s="4" t="inlineStr">
        <is>
          <t>FL</t>
        </is>
      </c>
      <c r="G24" s="4" t="inlineStr">
        <is>
          <t>32805</t>
        </is>
      </c>
      <c r="H24" s="4" t="inlineStr">
        <is>
          <t>407-317-2141</t>
        </is>
      </c>
      <c r="I24" s="4" t="inlineStr">
        <is>
          <t>In-Network</t>
        </is>
      </c>
      <c r="J24" s="4" t="inlineStr">
        <is>
          <t>No</t>
        </is>
      </c>
    </row>
    <row r="25">
      <c r="A25" s="4" t="n">
        <v>1770185183</v>
      </c>
      <c r="B25" s="4" t="inlineStr">
        <is>
          <t>Alise Abshire</t>
        </is>
      </c>
      <c r="C25" s="4" t="inlineStr">
        <is>
          <t>Behavior Technician</t>
        </is>
      </c>
      <c r="D25" s="4" t="inlineStr">
        <is>
          <t>11476S Apopka Vineland Road Suite 118</t>
        </is>
      </c>
      <c r="E25" s="4" t="inlineStr">
        <is>
          <t>Orlando</t>
        </is>
      </c>
      <c r="F25" s="4" t="inlineStr">
        <is>
          <t>FL</t>
        </is>
      </c>
      <c r="G25" s="4" t="inlineStr">
        <is>
          <t>32836</t>
        </is>
      </c>
      <c r="H25" s="4" t="inlineStr">
        <is>
          <t>407-955-4001</t>
        </is>
      </c>
      <c r="I25" s="4" t="inlineStr">
        <is>
          <t>In-Network</t>
        </is>
      </c>
      <c r="J25" s="4" t="inlineStr">
        <is>
          <t>Yes</t>
        </is>
      </c>
    </row>
    <row r="26">
      <c r="A26" s="4" t="n">
        <v>1003561358</v>
      </c>
      <c r="B26" s="4" t="inlineStr">
        <is>
          <t>Antonio Acosta</t>
        </is>
      </c>
      <c r="C26" s="4" t="inlineStr">
        <is>
          <t>Occupational Therapy Assistant</t>
        </is>
      </c>
      <c r="D26" s="4" t="inlineStr">
        <is>
          <t>3367 Burlington Dr</t>
        </is>
      </c>
      <c r="E26" s="4" t="inlineStr">
        <is>
          <t>Orlando</t>
        </is>
      </c>
      <c r="F26" s="4" t="inlineStr">
        <is>
          <t>FL</t>
        </is>
      </c>
      <c r="G26" s="4" t="inlineStr">
        <is>
          <t>32837</t>
        </is>
      </c>
      <c r="H26" s="4" t="inlineStr">
        <is>
          <t>407-782-1150</t>
        </is>
      </c>
      <c r="I26" s="4" t="inlineStr">
        <is>
          <t>In-Network</t>
        </is>
      </c>
      <c r="J26" s="4" t="inlineStr">
        <is>
          <t>No</t>
        </is>
      </c>
    </row>
    <row r="27">
      <c r="A27" s="4" t="n">
        <v>1124724307</v>
      </c>
      <c r="B27" s="4" t="inlineStr">
        <is>
          <t>Kristoffer Acasio, RN, PMHNP-BC</t>
        </is>
      </c>
      <c r="C27" s="4" t="inlineStr">
        <is>
          <t>Internal Medicine, Cardiovascular Disease</t>
        </is>
      </c>
      <c r="D27" s="4" t="inlineStr">
        <is>
          <t>3505 Lake Lynda Dr Ste 200</t>
        </is>
      </c>
      <c r="E27" s="4" t="inlineStr">
        <is>
          <t>Orlando</t>
        </is>
      </c>
      <c r="F27" s="4" t="inlineStr">
        <is>
          <t>FL</t>
        </is>
      </c>
      <c r="G27" s="4" t="inlineStr">
        <is>
          <t>32817</t>
        </is>
      </c>
      <c r="H27" s="4" t="inlineStr">
        <is>
          <t>407-476-0928</t>
        </is>
      </c>
      <c r="I27" s="4" t="inlineStr">
        <is>
          <t>In-Network</t>
        </is>
      </c>
      <c r="J27" s="4" t="inlineStr">
        <is>
          <t>Yes</t>
        </is>
      </c>
    </row>
    <row r="28">
      <c r="A28" s="4" t="n">
        <v>1215413869</v>
      </c>
      <c r="B28" s="4" t="inlineStr">
        <is>
          <t>Hannah Abbott</t>
        </is>
      </c>
      <c r="C28" s="4" t="inlineStr">
        <is>
          <t xml:space="preserve">Speech-Language Pathologist,  </t>
        </is>
      </c>
      <c r="D28" s="4" t="inlineStr">
        <is>
          <t>201 Park Place Blvd</t>
        </is>
      </c>
      <c r="E28" s="4" t="inlineStr">
        <is>
          <t>Kissimmee</t>
        </is>
      </c>
      <c r="F28" s="4" t="inlineStr">
        <is>
          <t>FL</t>
        </is>
      </c>
      <c r="G28" s="4" t="inlineStr">
        <is>
          <t>34741</t>
        </is>
      </c>
      <c r="H28" s="4" t="inlineStr">
        <is>
          <t>800-378-7019</t>
        </is>
      </c>
      <c r="I28" s="4" t="inlineStr">
        <is>
          <t>In-Network</t>
        </is>
      </c>
      <c r="J28" s="4" t="inlineStr">
        <is>
          <t>Yes</t>
        </is>
      </c>
    </row>
    <row r="29">
      <c r="A29" s="4" t="n">
        <v>1760488431</v>
      </c>
      <c r="B29" s="4" t="inlineStr">
        <is>
          <t>Kevin Accola, M.D.</t>
        </is>
      </c>
      <c r="C29" s="4" t="inlineStr">
        <is>
          <t>Thoracic Surgery (Cardiothoracic Vascular Surgery)</t>
        </is>
      </c>
      <c r="D29" s="4" t="inlineStr">
        <is>
          <t>217 Hillcrest St</t>
        </is>
      </c>
      <c r="E29" s="4" t="inlineStr">
        <is>
          <t>Orlando</t>
        </is>
      </c>
      <c r="F29" s="4" t="inlineStr">
        <is>
          <t>FL</t>
        </is>
      </c>
      <c r="G29" s="4" t="inlineStr">
        <is>
          <t>32801</t>
        </is>
      </c>
      <c r="H29" s="4" t="inlineStr">
        <is>
          <t>407-425-1566</t>
        </is>
      </c>
      <c r="I29" s="4" t="inlineStr">
        <is>
          <t>In-Network</t>
        </is>
      </c>
      <c r="J29" s="4" t="inlineStr">
        <is>
          <t>Yes</t>
        </is>
      </c>
    </row>
    <row r="30">
      <c r="A30" s="4" t="n">
        <v>1457770232</v>
      </c>
      <c r="B30" s="4" t="inlineStr">
        <is>
          <t>Grant Abadal, M.D.</t>
        </is>
      </c>
      <c r="C30" s="4" t="inlineStr">
        <is>
          <t>Radiology, Diagnostic Radiology</t>
        </is>
      </c>
      <c r="D30" s="4" t="inlineStr">
        <is>
          <t>1200 7Th Ave N</t>
        </is>
      </c>
      <c r="E30" s="4" t="inlineStr">
        <is>
          <t>St Petersburg</t>
        </is>
      </c>
      <c r="F30" s="4" t="inlineStr">
        <is>
          <t>FL</t>
        </is>
      </c>
      <c r="G30" s="4" t="inlineStr">
        <is>
          <t>33705</t>
        </is>
      </c>
      <c r="H30" s="4" t="inlineStr">
        <is>
          <t>727-825-1100</t>
        </is>
      </c>
      <c r="I30" s="4" t="inlineStr">
        <is>
          <t>In-Network</t>
        </is>
      </c>
      <c r="J30" s="4" t="inlineStr">
        <is>
          <t>Yes</t>
        </is>
      </c>
    </row>
    <row r="31">
      <c r="A31" s="4" t="n">
        <v>1356077317</v>
      </c>
      <c r="B31" s="4" t="inlineStr">
        <is>
          <t>Roslyn Achmad, FNP-BC</t>
        </is>
      </c>
      <c r="C31" s="4" t="inlineStr">
        <is>
          <t>Nurse Practitioner, Family</t>
        </is>
      </c>
      <c r="D31" s="4" t="inlineStr">
        <is>
          <t>12480 Lake Underhill Rd</t>
        </is>
      </c>
      <c r="E31" s="4" t="inlineStr">
        <is>
          <t>Orlando</t>
        </is>
      </c>
      <c r="F31" s="4" t="inlineStr">
        <is>
          <t>FL</t>
        </is>
      </c>
      <c r="G31" s="4" t="inlineStr">
        <is>
          <t>32825</t>
        </is>
      </c>
      <c r="H31" s="4" t="inlineStr">
        <is>
          <t>954-937-8089</t>
        </is>
      </c>
      <c r="I31" s="4" t="inlineStr">
        <is>
          <t>In-Network</t>
        </is>
      </c>
      <c r="J31" s="4" t="inlineStr">
        <is>
          <t>Yes</t>
        </is>
      </c>
    </row>
    <row r="32">
      <c r="A32" s="4" t="n">
        <v>1154997252</v>
      </c>
      <c r="B32" s="4" t="inlineStr">
        <is>
          <t>Mariam Abdelhalim, PSR</t>
        </is>
      </c>
      <c r="C32" s="4" t="inlineStr">
        <is>
          <t>Clinic/Center, Rehabilitation</t>
        </is>
      </c>
      <c r="D32" s="4" t="inlineStr">
        <is>
          <t>7550 Futures Dr Ste 104</t>
        </is>
      </c>
      <c r="E32" s="4" t="inlineStr">
        <is>
          <t>Orlando</t>
        </is>
      </c>
      <c r="F32" s="4" t="inlineStr">
        <is>
          <t>FL</t>
        </is>
      </c>
      <c r="G32" s="4" t="inlineStr">
        <is>
          <t>32819</t>
        </is>
      </c>
      <c r="H32" s="4" t="inlineStr">
        <is>
          <t>407-730-7983</t>
        </is>
      </c>
      <c r="I32" s="4" t="inlineStr">
        <is>
          <t>In-Network</t>
        </is>
      </c>
      <c r="J32" s="4" t="inlineStr">
        <is>
          <t>No</t>
        </is>
      </c>
    </row>
    <row r="33">
      <c r="A33" s="4" t="n">
        <v>1104141738</v>
      </c>
      <c r="B33" s="4" t="inlineStr">
        <is>
          <t>Shadi 'Ashrafi, MD</t>
        </is>
      </c>
      <c r="C33" s="4" t="inlineStr">
        <is>
          <t>Student in an Organized Health Care Education/Training Program</t>
        </is>
      </c>
      <c r="D33" s="4" t="inlineStr">
        <is>
          <t>1414 Kuhl Ave</t>
        </is>
      </c>
      <c r="E33" s="4" t="inlineStr">
        <is>
          <t>Orlando</t>
        </is>
      </c>
      <c r="F33" s="4" t="inlineStr">
        <is>
          <t>FL</t>
        </is>
      </c>
      <c r="G33" s="4" t="inlineStr">
        <is>
          <t>32806</t>
        </is>
      </c>
      <c r="H33" s="4" t="inlineStr">
        <is>
          <t>321-841-8933</t>
        </is>
      </c>
      <c r="I33" s="4" t="inlineStr">
        <is>
          <t>In-Network</t>
        </is>
      </c>
      <c r="J33" s="4" t="inlineStr">
        <is>
          <t>Yes</t>
        </is>
      </c>
    </row>
    <row r="34">
      <c r="A34" s="4" t="n">
        <v>1609377381</v>
      </c>
      <c r="B34" s="4" t="inlineStr">
        <is>
          <t>Besan Abdel-Khaleq, PharmD</t>
        </is>
      </c>
      <c r="C34" s="4" t="inlineStr">
        <is>
          <t>Pharmacist</t>
        </is>
      </c>
      <c r="D34" s="4" t="inlineStr">
        <is>
          <t>1961 Chathamoor Dr</t>
        </is>
      </c>
      <c r="E34" s="4" t="inlineStr">
        <is>
          <t>Orlando</t>
        </is>
      </c>
      <c r="F34" s="4" t="inlineStr">
        <is>
          <t>FL</t>
        </is>
      </c>
      <c r="G34" s="4" t="inlineStr">
        <is>
          <t>32835</t>
        </is>
      </c>
      <c r="H34" s="4" t="inlineStr">
        <is>
          <t>321-297-9696</t>
        </is>
      </c>
      <c r="I34" s="4" t="inlineStr">
        <is>
          <t>In-Network</t>
        </is>
      </c>
      <c r="J34" s="4" t="inlineStr">
        <is>
          <t>Yes</t>
        </is>
      </c>
    </row>
    <row r="35">
      <c r="A35" s="4" t="n">
        <v>1629422761</v>
      </c>
      <c r="B35" s="4" t="inlineStr">
        <is>
          <t>Shouberte Abreu, M.S.</t>
        </is>
      </c>
      <c r="C35" s="4" t="inlineStr">
        <is>
          <t>Behavior Analyst</t>
        </is>
      </c>
      <c r="D35" s="4" t="inlineStr">
        <is>
          <t>9964 N Kendall Dr Apt 823</t>
        </is>
      </c>
      <c r="E35" s="4" t="inlineStr">
        <is>
          <t>Miami</t>
        </is>
      </c>
      <c r="F35" s="4" t="inlineStr">
        <is>
          <t>FL</t>
        </is>
      </c>
      <c r="G35" s="4" t="inlineStr">
        <is>
          <t>33176</t>
        </is>
      </c>
      <c r="H35" s="4" t="inlineStr">
        <is>
          <t>305-747-3080</t>
        </is>
      </c>
      <c r="I35" s="4" t="inlineStr">
        <is>
          <t>In-Network</t>
        </is>
      </c>
      <c r="J35" s="4" t="inlineStr">
        <is>
          <t>Yes</t>
        </is>
      </c>
    </row>
    <row r="36">
      <c r="A36" s="4" t="n">
        <v>1063656759</v>
      </c>
      <c r="B36" s="4" t="inlineStr">
        <is>
          <t>Joselyn Abreu, MSW, LCSW, LCADC</t>
        </is>
      </c>
      <c r="C36" s="4" t="inlineStr">
        <is>
          <t>Social Worker, Clinical</t>
        </is>
      </c>
      <c r="D36" s="4" t="inlineStr">
        <is>
          <t>1400 N Semoran Blvd</t>
        </is>
      </c>
      <c r="E36" s="4" t="inlineStr">
        <is>
          <t>Orlando</t>
        </is>
      </c>
      <c r="F36" s="4" t="inlineStr">
        <is>
          <t>FL</t>
        </is>
      </c>
      <c r="G36" s="4" t="inlineStr">
        <is>
          <t>32807</t>
        </is>
      </c>
      <c r="H36" s="4" t="inlineStr">
        <is>
          <t>407-823-8421</t>
        </is>
      </c>
      <c r="I36" s="4" t="inlineStr">
        <is>
          <t>In-Network</t>
        </is>
      </c>
      <c r="J36" s="4" t="inlineStr">
        <is>
          <t>Yes</t>
        </is>
      </c>
    </row>
    <row r="37">
      <c r="A37" s="4" t="n">
        <v>1447201538</v>
      </c>
      <c r="B37" s="4" t="inlineStr">
        <is>
          <t>Khalid Abusaada, MD</t>
        </is>
      </c>
      <c r="C37" s="4" t="inlineStr">
        <is>
          <t>Internal Medicine</t>
        </is>
      </c>
      <c r="D37" s="4" t="inlineStr">
        <is>
          <t>2501 N Orange Ave</t>
        </is>
      </c>
      <c r="E37" s="4" t="inlineStr">
        <is>
          <t>Orlando</t>
        </is>
      </c>
      <c r="F37" s="4" t="inlineStr">
        <is>
          <t>FL</t>
        </is>
      </c>
      <c r="G37" s="4" t="inlineStr">
        <is>
          <t>32804</t>
        </is>
      </c>
      <c r="H37" s="4" t="inlineStr">
        <is>
          <t>352-273-5138</t>
        </is>
      </c>
      <c r="I37" s="4" t="inlineStr">
        <is>
          <t>In-Network</t>
        </is>
      </c>
      <c r="J37" s="4" t="inlineStr">
        <is>
          <t>No</t>
        </is>
      </c>
    </row>
    <row r="38">
      <c r="A38" s="4" t="n">
        <v>1841272853</v>
      </c>
      <c r="B38" s="4" t="inlineStr">
        <is>
          <t>Jeanne Ackerman, M.D.</t>
        </is>
      </c>
      <c r="C38" s="4" t="inlineStr">
        <is>
          <t>Pathology, Anatomic Pathology &amp; Clinical Pathology</t>
        </is>
      </c>
      <c r="D38" s="4" t="inlineStr">
        <is>
          <t>601 E Rollins St</t>
        </is>
      </c>
      <c r="E38" s="4" t="inlineStr">
        <is>
          <t>Orlando</t>
        </is>
      </c>
      <c r="F38" s="4" t="inlineStr">
        <is>
          <t>FL</t>
        </is>
      </c>
      <c r="G38" s="4" t="inlineStr">
        <is>
          <t>32803</t>
        </is>
      </c>
      <c r="H38" s="4" t="inlineStr">
        <is>
          <t>407-303-6611</t>
        </is>
      </c>
      <c r="I38" s="4" t="inlineStr">
        <is>
          <t>In-Network</t>
        </is>
      </c>
      <c r="J38" s="4" t="inlineStr">
        <is>
          <t>No</t>
        </is>
      </c>
    </row>
    <row r="39">
      <c r="A39" s="4" t="n">
        <v>1891454823</v>
      </c>
      <c r="B39" s="4" t="inlineStr">
        <is>
          <t>Wescendy Adam</t>
        </is>
      </c>
      <c r="C39" s="4" t="inlineStr">
        <is>
          <t>Social Worker, Clinical</t>
        </is>
      </c>
      <c r="D39" s="4" t="inlineStr">
        <is>
          <t>13803 Amberleigh Rd</t>
        </is>
      </c>
      <c r="E39" s="4" t="inlineStr">
        <is>
          <t>Orlando</t>
        </is>
      </c>
      <c r="F39" s="4" t="inlineStr">
        <is>
          <t>FL</t>
        </is>
      </c>
      <c r="G39" s="4" t="inlineStr">
        <is>
          <t>32837</t>
        </is>
      </c>
      <c r="H39" s="4" t="inlineStr">
        <is>
          <t>407-989-8565</t>
        </is>
      </c>
      <c r="I39" s="4" t="inlineStr">
        <is>
          <t>In-Network</t>
        </is>
      </c>
      <c r="J39" s="4" t="inlineStr">
        <is>
          <t>Yes</t>
        </is>
      </c>
    </row>
    <row r="40">
      <c r="A40" s="4" t="n">
        <v>1932866472</v>
      </c>
      <c r="B40" s="4" t="inlineStr">
        <is>
          <t>Nadia Abdi</t>
        </is>
      </c>
      <c r="C40" s="4" t="inlineStr">
        <is>
          <t>Behavior Technician</t>
        </is>
      </c>
      <c r="D40" s="4" t="inlineStr">
        <is>
          <t>1160 S Semoran Blvd</t>
        </is>
      </c>
      <c r="E40" s="4" t="inlineStr">
        <is>
          <t>Orlando</t>
        </is>
      </c>
      <c r="F40" s="4" t="inlineStr">
        <is>
          <t>FL</t>
        </is>
      </c>
      <c r="G40" s="4" t="inlineStr">
        <is>
          <t>32807</t>
        </is>
      </c>
      <c r="H40" s="4" t="inlineStr">
        <is>
          <t>844-244-1818</t>
        </is>
      </c>
      <c r="I40" s="4" t="inlineStr">
        <is>
          <t>In-Network</t>
        </is>
      </c>
      <c r="J40" s="4" t="inlineStr">
        <is>
          <t>No</t>
        </is>
      </c>
    </row>
    <row r="41">
      <c r="A41" s="4" t="n">
        <v>1295110765</v>
      </c>
      <c r="B41" s="4" t="inlineStr">
        <is>
          <t>Awad Abass, PA-C</t>
        </is>
      </c>
      <c r="C41" s="4" t="inlineStr">
        <is>
          <t>Physician Assistant, Medical</t>
        </is>
      </c>
      <c r="D41" s="4" t="inlineStr">
        <is>
          <t>289 W Copeland Dr</t>
        </is>
      </c>
      <c r="E41" s="4" t="inlineStr">
        <is>
          <t>Orlando</t>
        </is>
      </c>
      <c r="F41" s="4" t="inlineStr">
        <is>
          <t>FL</t>
        </is>
      </c>
      <c r="G41" s="4" t="inlineStr">
        <is>
          <t>32806</t>
        </is>
      </c>
      <c r="H41" s="4" t="inlineStr">
        <is>
          <t>321-841-7550</t>
        </is>
      </c>
      <c r="I41" s="4" t="inlineStr">
        <is>
          <t>In-Network</t>
        </is>
      </c>
      <c r="J41" s="4" t="inlineStr">
        <is>
          <t>Yes</t>
        </is>
      </c>
    </row>
    <row r="42">
      <c r="A42" s="4" t="n">
        <v>1417126442</v>
      </c>
      <c r="B42" s="4" t="inlineStr">
        <is>
          <t>Aida Acevedo</t>
        </is>
      </c>
      <c r="C42" s="4" t="inlineStr">
        <is>
          <t>Registered Nurse, General Practice</t>
        </is>
      </c>
      <c r="D42" s="4" t="inlineStr">
        <is>
          <t>5201 Raymond St</t>
        </is>
      </c>
      <c r="E42" s="4" t="inlineStr">
        <is>
          <t>Orlando</t>
        </is>
      </c>
      <c r="F42" s="4" t="inlineStr">
        <is>
          <t>FL</t>
        </is>
      </c>
      <c r="G42" s="4" t="inlineStr">
        <is>
          <t>32803</t>
        </is>
      </c>
      <c r="H42" s="4" t="inlineStr">
        <is>
          <t>407-599-1532</t>
        </is>
      </c>
      <c r="I42" s="4" t="inlineStr">
        <is>
          <t>In-Network</t>
        </is>
      </c>
      <c r="J42" s="4" t="inlineStr">
        <is>
          <t>Yes</t>
        </is>
      </c>
    </row>
    <row r="43">
      <c r="A43" s="4" t="n">
        <v>1306013222</v>
      </c>
      <c r="B43" s="4" t="inlineStr">
        <is>
          <t>Rita Acosta, M.D.</t>
        </is>
      </c>
      <c r="C43" s="4" t="inlineStr">
        <is>
          <t>Internal Medicine, Hepatology</t>
        </is>
      </c>
      <c r="D43" s="4" t="inlineStr">
        <is>
          <t>1621 Spring Lake Dr</t>
        </is>
      </c>
      <c r="E43" s="4" t="inlineStr">
        <is>
          <t>Orlando</t>
        </is>
      </c>
      <c r="F43" s="4" t="inlineStr">
        <is>
          <t>FL</t>
        </is>
      </c>
      <c r="G43" s="4" t="inlineStr">
        <is>
          <t>32804</t>
        </is>
      </c>
      <c r="H43" s="4" t="inlineStr">
        <is>
          <t>407-864-5559</t>
        </is>
      </c>
      <c r="I43" s="4" t="inlineStr">
        <is>
          <t>In-Network</t>
        </is>
      </c>
      <c r="J43" s="4" t="inlineStr">
        <is>
          <t>No</t>
        </is>
      </c>
    </row>
    <row r="44">
      <c r="A44" s="4" t="n">
        <v>1689814584</v>
      </c>
      <c r="B44" s="4" t="inlineStr">
        <is>
          <t>Margaret Abraham, MD</t>
        </is>
      </c>
      <c r="C44" s="4" t="inlineStr">
        <is>
          <t>Obstetrics &amp; Gynecology</t>
        </is>
      </c>
      <c r="D44" s="4" t="inlineStr">
        <is>
          <t>821 Herndon Ave Unit 141436</t>
        </is>
      </c>
      <c r="E44" s="4" t="inlineStr">
        <is>
          <t>Orlando</t>
        </is>
      </c>
      <c r="F44" s="4" t="inlineStr">
        <is>
          <t>FL</t>
        </is>
      </c>
      <c r="G44" s="4" t="inlineStr">
        <is>
          <t>32814</t>
        </is>
      </c>
      <c r="H44" s="4" t="inlineStr">
        <is>
          <t>407-743-7471</t>
        </is>
      </c>
      <c r="I44" s="4" t="inlineStr">
        <is>
          <t>In-Network</t>
        </is>
      </c>
      <c r="J44" s="4" t="inlineStr">
        <is>
          <t>Yes</t>
        </is>
      </c>
    </row>
    <row r="45">
      <c r="A45" s="4" t="n">
        <v>1467628834</v>
      </c>
      <c r="B45" s="4" t="inlineStr">
        <is>
          <t>Myra Abriam, APNP</t>
        </is>
      </c>
      <c r="C45" s="4" t="inlineStr">
        <is>
          <t>Nurse Practitioner, Pediatrics</t>
        </is>
      </c>
      <c r="D45" s="4" t="inlineStr">
        <is>
          <t>50 Sturtevant St</t>
        </is>
      </c>
      <c r="E45" s="4" t="inlineStr">
        <is>
          <t>Orlando</t>
        </is>
      </c>
      <c r="F45" s="4" t="inlineStr">
        <is>
          <t>FL</t>
        </is>
      </c>
      <c r="G45" s="4" t="inlineStr">
        <is>
          <t>32806</t>
        </is>
      </c>
      <c r="H45" s="4" t="inlineStr">
        <is>
          <t>407-649-6907</t>
        </is>
      </c>
      <c r="I45" s="4" t="inlineStr">
        <is>
          <t>In-Network</t>
        </is>
      </c>
      <c r="J45" s="4" t="inlineStr">
        <is>
          <t>No</t>
        </is>
      </c>
    </row>
    <row r="46">
      <c r="A46" s="4" t="n">
        <v>1568436418</v>
      </c>
      <c r="B46" s="4" t="inlineStr">
        <is>
          <t>Lionel Abbott, MD</t>
        </is>
      </c>
      <c r="C46" s="4" t="inlineStr">
        <is>
          <t>Internal Medicine, Nephrology</t>
        </is>
      </c>
      <c r="D46" s="4" t="inlineStr">
        <is>
          <t>3885 Oakwater Cir</t>
        </is>
      </c>
      <c r="E46" s="4" t="inlineStr">
        <is>
          <t>Orlando</t>
        </is>
      </c>
      <c r="F46" s="4" t="inlineStr">
        <is>
          <t>FL</t>
        </is>
      </c>
      <c r="G46" s="4" t="inlineStr">
        <is>
          <t>32806</t>
        </is>
      </c>
      <c r="H46" s="4" t="inlineStr">
        <is>
          <t>407-851-5600</t>
        </is>
      </c>
      <c r="I46" s="4" t="inlineStr">
        <is>
          <t>In-Network</t>
        </is>
      </c>
      <c r="J46" s="4" t="inlineStr">
        <is>
          <t>Yes</t>
        </is>
      </c>
    </row>
    <row r="47">
      <c r="A47" s="4" t="n">
        <v>1184436727</v>
      </c>
      <c r="B47" s="4" t="inlineStr">
        <is>
          <t>Yaili Acosta Diaz</t>
        </is>
      </c>
      <c r="C47" s="4" t="inlineStr">
        <is>
          <t>Behavior Technician</t>
        </is>
      </c>
      <c r="D47" s="4" t="inlineStr">
        <is>
          <t>4614 Nikki Ct Apt 3</t>
        </is>
      </c>
      <c r="E47" s="4" t="inlineStr">
        <is>
          <t>Orlando</t>
        </is>
      </c>
      <c r="F47" s="4" t="inlineStr">
        <is>
          <t>FL</t>
        </is>
      </c>
      <c r="G47" s="4" t="inlineStr">
        <is>
          <t>32822</t>
        </is>
      </c>
      <c r="H47" s="4" t="inlineStr">
        <is>
          <t>689-251-2955</t>
        </is>
      </c>
      <c r="I47" s="4" t="inlineStr">
        <is>
          <t>In-Network</t>
        </is>
      </c>
      <c r="J47" s="4" t="inlineStr">
        <is>
          <t>No</t>
        </is>
      </c>
    </row>
    <row r="48">
      <c r="A48" s="4" t="n">
        <v>1225007875</v>
      </c>
      <c r="B48" s="4" t="inlineStr">
        <is>
          <t>Richard Abramson, MD</t>
        </is>
      </c>
      <c r="C48" s="4" t="inlineStr">
        <is>
          <t>Urology, Pediatric Urology</t>
        </is>
      </c>
      <c r="D48" s="4" t="inlineStr">
        <is>
          <t>1717 S Orange Ave</t>
        </is>
      </c>
      <c r="E48" s="4" t="inlineStr">
        <is>
          <t>Orlando</t>
        </is>
      </c>
      <c r="F48" s="4" t="inlineStr">
        <is>
          <t>FL</t>
        </is>
      </c>
      <c r="G48" s="4" t="inlineStr">
        <is>
          <t>32806</t>
        </is>
      </c>
      <c r="H48" s="4" t="inlineStr">
        <is>
          <t>407-650-7715</t>
        </is>
      </c>
      <c r="I48" s="4" t="inlineStr">
        <is>
          <t>In-Network</t>
        </is>
      </c>
      <c r="J48" s="4" t="inlineStr">
        <is>
          <t>Yes</t>
        </is>
      </c>
    </row>
    <row r="49">
      <c r="A49" s="4" t="n">
        <v>1164855805</v>
      </c>
      <c r="B49" s="4" t="inlineStr">
        <is>
          <t>Khaled Abdelmagid, MD</t>
        </is>
      </c>
      <c r="C49" s="4" t="inlineStr">
        <is>
          <t>Pediatrics, Pediatric Cardiology</t>
        </is>
      </c>
      <c r="D49" s="4" t="inlineStr">
        <is>
          <t>92 W Miller St</t>
        </is>
      </c>
      <c r="E49" s="4" t="inlineStr">
        <is>
          <t>Orlando</t>
        </is>
      </c>
      <c r="F49" s="4" t="inlineStr">
        <is>
          <t>FL</t>
        </is>
      </c>
      <c r="G49" s="4" t="inlineStr">
        <is>
          <t>32806</t>
        </is>
      </c>
      <c r="H49" s="4" t="inlineStr">
        <is>
          <t>407-649-6907</t>
        </is>
      </c>
      <c r="I49" s="4" t="inlineStr">
        <is>
          <t>In-Network</t>
        </is>
      </c>
      <c r="J49" s="4" t="inlineStr">
        <is>
          <t>Yes</t>
        </is>
      </c>
    </row>
    <row r="50">
      <c r="A50" s="4" t="n">
        <v>1013229988</v>
      </c>
      <c r="B50" s="4" t="inlineStr">
        <is>
          <t>Abdel Kader Abdel Jaber, M.D.</t>
        </is>
      </c>
      <c r="C50" s="4" t="inlineStr">
        <is>
          <t>Pediatrics</t>
        </is>
      </c>
      <c r="D50" s="4" t="inlineStr">
        <is>
          <t>601 E Rollins St</t>
        </is>
      </c>
      <c r="E50" s="4" t="inlineStr">
        <is>
          <t>Orlando</t>
        </is>
      </c>
      <c r="F50" s="4" t="inlineStr">
        <is>
          <t>FL</t>
        </is>
      </c>
      <c r="G50" s="4" t="inlineStr">
        <is>
          <t>32803</t>
        </is>
      </c>
      <c r="H50" s="4" t="inlineStr">
        <is>
          <t>407-975-0412</t>
        </is>
      </c>
      <c r="I50" s="4" t="inlineStr">
        <is>
          <t>In-Network</t>
        </is>
      </c>
      <c r="J50" s="4" t="inlineStr">
        <is>
          <t>Yes</t>
        </is>
      </c>
    </row>
    <row r="51">
      <c r="A51" s="4" t="n">
        <v>1093478828</v>
      </c>
      <c r="B51" s="4" t="inlineStr">
        <is>
          <t>Shermaine Acosta, APRN</t>
        </is>
      </c>
      <c r="C51" s="4" t="inlineStr">
        <is>
          <t>Nurse Practitioner, Adult Health</t>
        </is>
      </c>
      <c r="D51" s="4" t="inlineStr">
        <is>
          <t>17000 Porter Rd</t>
        </is>
      </c>
      <c r="E51" s="4" t="inlineStr">
        <is>
          <t>Winter Garden</t>
        </is>
      </c>
      <c r="F51" s="4" t="inlineStr">
        <is>
          <t>FL</t>
        </is>
      </c>
      <c r="G51" s="4" t="inlineStr">
        <is>
          <t>34787</t>
        </is>
      </c>
      <c r="H51" s="4" t="inlineStr">
        <is>
          <t>407-648-4806</t>
        </is>
      </c>
      <c r="I51" s="4" t="inlineStr">
        <is>
          <t>In-Network</t>
        </is>
      </c>
      <c r="J51" s="4" t="inlineStr">
        <is>
          <t>Yes</t>
        </is>
      </c>
    </row>
    <row r="52">
      <c r="A52" s="4" t="n">
        <v>1679455489</v>
      </c>
      <c r="B52" s="4" t="inlineStr">
        <is>
          <t>Ashton Abernathy, PTA</t>
        </is>
      </c>
      <c r="C52" s="4" t="inlineStr">
        <is>
          <t>Physical Therapy Assistant</t>
        </is>
      </c>
      <c r="D52" s="4" t="inlineStr">
        <is>
          <t>1441 Winter Garden Vineland Rd</t>
        </is>
      </c>
      <c r="E52" s="4" t="inlineStr">
        <is>
          <t>Winter Garden</t>
        </is>
      </c>
      <c r="F52" s="4" t="inlineStr">
        <is>
          <t>FL</t>
        </is>
      </c>
      <c r="G52" s="4" t="inlineStr">
        <is>
          <t>34787</t>
        </is>
      </c>
      <c r="H52" s="4" t="inlineStr">
        <is>
          <t>407-904-0135</t>
        </is>
      </c>
      <c r="I52" s="4" t="inlineStr">
        <is>
          <t>In-Network</t>
        </is>
      </c>
      <c r="J52" s="4" t="inlineStr">
        <is>
          <t>Yes</t>
        </is>
      </c>
    </row>
    <row r="53">
      <c r="A53" s="4" t="n">
        <v>1982100863</v>
      </c>
      <c r="B53" s="4" t="inlineStr">
        <is>
          <t>Reem Abdalla, MD</t>
        </is>
      </c>
      <c r="C53" s="4" t="inlineStr">
        <is>
          <t>Internal Medicine</t>
        </is>
      </c>
      <c r="D53" s="4" t="inlineStr">
        <is>
          <t>7243 Della Dr Ste K</t>
        </is>
      </c>
      <c r="E53" s="4" t="inlineStr">
        <is>
          <t>Orlando</t>
        </is>
      </c>
      <c r="F53" s="4" t="inlineStr">
        <is>
          <t>FL</t>
        </is>
      </c>
      <c r="G53" s="4" t="inlineStr">
        <is>
          <t>32819</t>
        </is>
      </c>
      <c r="H53" s="4" t="inlineStr">
        <is>
          <t>407-370-8705</t>
        </is>
      </c>
      <c r="I53" s="4" t="inlineStr">
        <is>
          <t>In-Network</t>
        </is>
      </c>
      <c r="J53" s="4" t="inlineStr">
        <is>
          <t>Yes</t>
        </is>
      </c>
    </row>
    <row r="54">
      <c r="A54" s="4" t="n">
        <v>1619332491</v>
      </c>
      <c r="B54" s="4" t="inlineStr">
        <is>
          <t>Joanna Acosta</t>
        </is>
      </c>
      <c r="C54" s="4" t="inlineStr">
        <is>
          <t>Behavior Analyst</t>
        </is>
      </c>
      <c r="D54" s="4" t="inlineStr">
        <is>
          <t>3020 Lamberton Blvd Ste 107</t>
        </is>
      </c>
      <c r="E54" s="4" t="inlineStr">
        <is>
          <t>Orlando</t>
        </is>
      </c>
      <c r="F54" s="4" t="inlineStr">
        <is>
          <t>FL</t>
        </is>
      </c>
      <c r="G54" s="4" t="inlineStr">
        <is>
          <t>32825</t>
        </is>
      </c>
      <c r="H54" s="4" t="inlineStr">
        <is>
          <t>407-490-2986</t>
        </is>
      </c>
      <c r="I54" s="4" t="inlineStr">
        <is>
          <t>In-Network</t>
        </is>
      </c>
      <c r="J54" s="4" t="inlineStr">
        <is>
          <t>Yes</t>
        </is>
      </c>
    </row>
    <row r="55">
      <c r="A55" s="4" t="n">
        <v>1386314938</v>
      </c>
      <c r="B55" s="4" t="inlineStr">
        <is>
          <t>Joerik Acevedo Medina, RN</t>
        </is>
      </c>
      <c r="C55" s="4" t="inlineStr">
        <is>
          <t>Registered Nurse, Pediatrics</t>
        </is>
      </c>
      <c r="D55" s="4" t="inlineStr">
        <is>
          <t>12200 Menta St Ste 105</t>
        </is>
      </c>
      <c r="E55" s="4" t="inlineStr">
        <is>
          <t>Orlando</t>
        </is>
      </c>
      <c r="F55" s="4" t="inlineStr">
        <is>
          <t>FL</t>
        </is>
      </c>
      <c r="G55" s="4" t="inlineStr">
        <is>
          <t>32837</t>
        </is>
      </c>
      <c r="H55" s="4" t="inlineStr">
        <is>
          <t>407-757-2257</t>
        </is>
      </c>
      <c r="I55" s="4" t="inlineStr">
        <is>
          <t>In-Network</t>
        </is>
      </c>
      <c r="J55" s="4" t="inlineStr">
        <is>
          <t>Yes</t>
        </is>
      </c>
    </row>
    <row r="56">
      <c r="A56" s="4" t="n">
        <v>1235700345</v>
      </c>
      <c r="B56" s="4" t="inlineStr">
        <is>
          <t>Emily Acosta, APRN</t>
        </is>
      </c>
      <c r="C56" s="4" t="inlineStr">
        <is>
          <t>Nurse Practitioner, Family</t>
        </is>
      </c>
      <c r="D56" s="4" t="inlineStr">
        <is>
          <t>5590 S John Young Pkwy</t>
        </is>
      </c>
      <c r="E56" s="4" t="inlineStr">
        <is>
          <t>Orlando</t>
        </is>
      </c>
      <c r="F56" s="4" t="inlineStr">
        <is>
          <t>FL</t>
        </is>
      </c>
      <c r="G56" s="4" t="inlineStr">
        <is>
          <t>32839</t>
        </is>
      </c>
      <c r="H56" s="4" t="inlineStr">
        <is>
          <t>844-665-4827</t>
        </is>
      </c>
      <c r="I56" s="4" t="inlineStr">
        <is>
          <t>In-Network</t>
        </is>
      </c>
      <c r="J56" s="4" t="inlineStr">
        <is>
          <t>No</t>
        </is>
      </c>
    </row>
    <row r="57">
      <c r="A57" s="4" t="n">
        <v>1548122781</v>
      </c>
      <c r="B57" s="4" t="inlineStr">
        <is>
          <t>Isabella Acosta</t>
        </is>
      </c>
      <c r="C57" s="4" t="inlineStr">
        <is>
          <t>Behavior Technician</t>
        </is>
      </c>
      <c r="D57" s="4" t="inlineStr">
        <is>
          <t>601 S Lake Destiny Rd Ste 350</t>
        </is>
      </c>
      <c r="E57" s="4" t="inlineStr">
        <is>
          <t>Maitland</t>
        </is>
      </c>
      <c r="F57" s="4" t="inlineStr">
        <is>
          <t>FL</t>
        </is>
      </c>
      <c r="G57" s="4" t="inlineStr">
        <is>
          <t>32751</t>
        </is>
      </c>
      <c r="H57" s="4" t="inlineStr">
        <is>
          <t>407-647-6555</t>
        </is>
      </c>
      <c r="I57" s="4" t="inlineStr">
        <is>
          <t>Out-of-Network</t>
        </is>
      </c>
      <c r="J57" s="4" t="inlineStr">
        <is>
          <t>No</t>
        </is>
      </c>
    </row>
    <row r="58">
      <c r="A58" s="4" t="n">
        <v>1235013376</v>
      </c>
      <c r="B58" s="4" t="inlineStr">
        <is>
          <t>Victoria Abraham</t>
        </is>
      </c>
      <c r="C58" s="4" t="inlineStr">
        <is>
          <t>Anesthesiologist Assistant</t>
        </is>
      </c>
      <c r="D58" s="4" t="inlineStr">
        <is>
          <t>52 Underwood St</t>
        </is>
      </c>
      <c r="E58" s="4" t="inlineStr">
        <is>
          <t>Orlando</t>
        </is>
      </c>
      <c r="F58" s="4" t="inlineStr">
        <is>
          <t>FL</t>
        </is>
      </c>
      <c r="G58" s="4" t="inlineStr">
        <is>
          <t>32806</t>
        </is>
      </c>
      <c r="H58" s="4" t="inlineStr">
        <is>
          <t>407-527-7429</t>
        </is>
      </c>
      <c r="I58" s="4" t="inlineStr">
        <is>
          <t>In-Network</t>
        </is>
      </c>
      <c r="J58" s="4" t="inlineStr">
        <is>
          <t>No</t>
        </is>
      </c>
    </row>
    <row r="59">
      <c r="A59" s="4" t="n">
        <v>1568662559</v>
      </c>
      <c r="B59" s="4" t="inlineStr">
        <is>
          <t>Clifford Adam, M.D.</t>
        </is>
      </c>
      <c r="C59" s="4" t="inlineStr">
        <is>
          <t>General Practice</t>
        </is>
      </c>
      <c r="D59" s="4" t="inlineStr">
        <is>
          <t>1261 N Pine Hills Rd</t>
        </is>
      </c>
      <c r="E59" s="4" t="inlineStr">
        <is>
          <t>Orlando</t>
        </is>
      </c>
      <c r="F59" s="4" t="inlineStr">
        <is>
          <t>FL</t>
        </is>
      </c>
      <c r="G59" s="4" t="inlineStr">
        <is>
          <t>32808</t>
        </is>
      </c>
      <c r="H59" s="4" t="inlineStr">
        <is>
          <t>201-450-5221</t>
        </is>
      </c>
      <c r="I59" s="4" t="inlineStr">
        <is>
          <t>In-Network</t>
        </is>
      </c>
      <c r="J59" s="4" t="inlineStr">
        <is>
          <t>Yes</t>
        </is>
      </c>
    </row>
    <row r="60">
      <c r="A60" s="4" t="n">
        <v>1316665367</v>
      </c>
      <c r="B60" s="4" t="inlineStr">
        <is>
          <t>Adriana Acevedo</t>
        </is>
      </c>
      <c r="C60" s="4" t="inlineStr">
        <is>
          <t>Developmental Therapist</t>
        </is>
      </c>
      <c r="D60" s="4" t="inlineStr">
        <is>
          <t>2838 Osprey Creek Ln</t>
        </is>
      </c>
      <c r="E60" s="4" t="inlineStr">
        <is>
          <t>Orlando</t>
        </is>
      </c>
      <c r="F60" s="4" t="inlineStr">
        <is>
          <t>FL</t>
        </is>
      </c>
      <c r="G60" s="4" t="inlineStr">
        <is>
          <t>32825</t>
        </is>
      </c>
      <c r="H60" s="4" t="inlineStr">
        <is>
          <t>954-213-3760</t>
        </is>
      </c>
      <c r="I60" s="4" t="inlineStr">
        <is>
          <t>In-Network</t>
        </is>
      </c>
      <c r="J60" s="4" t="inlineStr">
        <is>
          <t>Yes</t>
        </is>
      </c>
    </row>
    <row r="61">
      <c r="A61" s="4" t="n">
        <v>1598644627</v>
      </c>
      <c r="B61" s="4" t="inlineStr">
        <is>
          <t>Rami Abdelmalek</t>
        </is>
      </c>
      <c r="C61" s="4" t="inlineStr">
        <is>
          <t>Counselor, Mental Health</t>
        </is>
      </c>
      <c r="D61" s="4" t="inlineStr">
        <is>
          <t>8337 Southpark Cir</t>
        </is>
      </c>
      <c r="E61" s="4" t="inlineStr">
        <is>
          <t>Orlando</t>
        </is>
      </c>
      <c r="F61" s="4" t="inlineStr">
        <is>
          <t>FL</t>
        </is>
      </c>
      <c r="G61" s="4" t="inlineStr">
        <is>
          <t>32819</t>
        </is>
      </c>
      <c r="H61" s="4" t="inlineStr">
        <is>
          <t>407-541-4960</t>
        </is>
      </c>
      <c r="I61" s="4" t="inlineStr">
        <is>
          <t>In-Network</t>
        </is>
      </c>
      <c r="J61" s="4" t="inlineStr">
        <is>
          <t>No</t>
        </is>
      </c>
    </row>
    <row r="62">
      <c r="A62" s="4" t="n">
        <v>1821583287</v>
      </c>
      <c r="B62" s="4" t="inlineStr">
        <is>
          <t>Estela Abich, MD</t>
        </is>
      </c>
      <c r="C62" s="4" t="inlineStr">
        <is>
          <t>Surgery</t>
        </is>
      </c>
      <c r="D62" s="4" t="inlineStr">
        <is>
          <t>9430 Turkey Lake Rd Ste 114</t>
        </is>
      </c>
      <c r="E62" s="4" t="inlineStr">
        <is>
          <t>Orlando</t>
        </is>
      </c>
      <c r="F62" s="4" t="inlineStr">
        <is>
          <t>FL</t>
        </is>
      </c>
      <c r="G62" s="4" t="inlineStr">
        <is>
          <t>32819</t>
        </is>
      </c>
      <c r="H62" s="4" t="inlineStr">
        <is>
          <t>407-354-1202</t>
        </is>
      </c>
      <c r="I62" s="4" t="inlineStr">
        <is>
          <t>In-Network</t>
        </is>
      </c>
      <c r="J62" s="4" t="inlineStr">
        <is>
          <t>Yes</t>
        </is>
      </c>
    </row>
    <row r="63">
      <c r="A63" s="4" t="n">
        <v>1679064331</v>
      </c>
      <c r="B63" s="4" t="inlineStr">
        <is>
          <t>Lauren Adair, RBT</t>
        </is>
      </c>
      <c r="C63" s="4" t="inlineStr">
        <is>
          <t>Behavior Analyst</t>
        </is>
      </c>
      <c r="D63" s="4" t="inlineStr">
        <is>
          <t>907 Outer Rd Ste B</t>
        </is>
      </c>
      <c r="E63" s="4" t="inlineStr">
        <is>
          <t>Orlando</t>
        </is>
      </c>
      <c r="F63" s="4" t="inlineStr">
        <is>
          <t>FL</t>
        </is>
      </c>
      <c r="G63" s="4" t="inlineStr">
        <is>
          <t>32814</t>
        </is>
      </c>
      <c r="H63" s="4" t="inlineStr">
        <is>
          <t>855-832-6727</t>
        </is>
      </c>
      <c r="I63" s="4" t="inlineStr">
        <is>
          <t>Out-of-Network</t>
        </is>
      </c>
      <c r="J63" s="4" t="inlineStr">
        <is>
          <t>Yes</t>
        </is>
      </c>
    </row>
    <row r="64">
      <c r="A64" s="4" t="n">
        <v>1417032988</v>
      </c>
      <c r="B64" s="4" t="inlineStr">
        <is>
          <t>Lorena Acosta, MD</t>
        </is>
      </c>
      <c r="C64" s="4" t="inlineStr">
        <is>
          <t>Pediatrics</t>
        </is>
      </c>
      <c r="D64" s="4" t="inlineStr">
        <is>
          <t>200 E Marks St</t>
        </is>
      </c>
      <c r="E64" s="4" t="inlineStr">
        <is>
          <t>Orlando</t>
        </is>
      </c>
      <c r="F64" s="4" t="inlineStr">
        <is>
          <t>FL</t>
        </is>
      </c>
      <c r="G64" s="4" t="inlineStr">
        <is>
          <t>32803</t>
        </is>
      </c>
      <c r="H64" s="4" t="inlineStr">
        <is>
          <t>407-284-6460</t>
        </is>
      </c>
      <c r="I64" s="4" t="inlineStr">
        <is>
          <t>In-Network</t>
        </is>
      </c>
      <c r="J64" s="4" t="inlineStr">
        <is>
          <t>Yes</t>
        </is>
      </c>
    </row>
    <row r="65">
      <c r="A65" s="4" t="n">
        <v>1114399920</v>
      </c>
      <c r="B65" s="4" t="inlineStr">
        <is>
          <t>Fanny Acosta De La Rosa</t>
        </is>
      </c>
      <c r="C65" s="4" t="inlineStr">
        <is>
          <t>Registered Nurse, Psych/Mental Health</t>
        </is>
      </c>
      <c r="D65" s="4" t="inlineStr">
        <is>
          <t>1800 Mercy Dr</t>
        </is>
      </c>
      <c r="E65" s="4" t="inlineStr">
        <is>
          <t>Orlando</t>
        </is>
      </c>
      <c r="F65" s="4" t="inlineStr">
        <is>
          <t>FL</t>
        </is>
      </c>
      <c r="G65" s="4" t="inlineStr">
        <is>
          <t>32808</t>
        </is>
      </c>
      <c r="H65" s="4" t="inlineStr">
        <is>
          <t>407-875-3700</t>
        </is>
      </c>
      <c r="I65" s="4" t="inlineStr">
        <is>
          <t>In-Network</t>
        </is>
      </c>
      <c r="J65" s="4" t="inlineStr">
        <is>
          <t>Yes</t>
        </is>
      </c>
    </row>
    <row r="66">
      <c r="A66" s="4" t="n">
        <v>1912095258</v>
      </c>
      <c r="B66" s="4" t="inlineStr">
        <is>
          <t>Sadi Abusrur, M.D.</t>
        </is>
      </c>
      <c r="C66" s="4" t="inlineStr">
        <is>
          <t>Anesthesiology</t>
        </is>
      </c>
      <c r="D66" s="4" t="inlineStr">
        <is>
          <t>2116 S Orange Ave Ste B</t>
        </is>
      </c>
      <c r="E66" s="4" t="inlineStr">
        <is>
          <t>Orlando</t>
        </is>
      </c>
      <c r="F66" s="4" t="inlineStr">
        <is>
          <t>FL</t>
        </is>
      </c>
      <c r="G66" s="4" t="inlineStr">
        <is>
          <t>32806</t>
        </is>
      </c>
      <c r="H66" s="4" t="inlineStr">
        <is>
          <t>407-704-8990</t>
        </is>
      </c>
      <c r="I66" s="4" t="inlineStr">
        <is>
          <t>Out-of-Network</t>
        </is>
      </c>
      <c r="J66" s="4" t="inlineStr">
        <is>
          <t>No</t>
        </is>
      </c>
    </row>
    <row r="67">
      <c r="A67" s="4" t="n">
        <v>1275751232</v>
      </c>
      <c r="B67" s="4" t="inlineStr">
        <is>
          <t>Gloria Acevedo-Rentas, R.Ph</t>
        </is>
      </c>
      <c r="C67" s="4" t="inlineStr">
        <is>
          <t>Pharmacist</t>
        </is>
      </c>
      <c r="D67" s="4" t="inlineStr">
        <is>
          <t>1347 E Vine St</t>
        </is>
      </c>
      <c r="E67" s="4" t="inlineStr">
        <is>
          <t>Kissimmee</t>
        </is>
      </c>
      <c r="F67" s="4" t="inlineStr">
        <is>
          <t>FL</t>
        </is>
      </c>
      <c r="G67" s="4" t="inlineStr">
        <is>
          <t>34744</t>
        </is>
      </c>
      <c r="H67" s="4" t="inlineStr">
        <is>
          <t>407-933-8856</t>
        </is>
      </c>
      <c r="I67" s="4" t="inlineStr">
        <is>
          <t>In-Network</t>
        </is>
      </c>
      <c r="J67" s="4" t="inlineStr">
        <is>
          <t>Yes</t>
        </is>
      </c>
    </row>
    <row r="68">
      <c r="A68" s="4" t="n">
        <v>1750886974</v>
      </c>
      <c r="B68" s="4" t="inlineStr">
        <is>
          <t>Ali Abbood, MD</t>
        </is>
      </c>
      <c r="C68" s="4" t="inlineStr">
        <is>
          <t>Internal Medicine, Cardiovascular Disease</t>
        </is>
      </c>
      <c r="D68" s="4" t="inlineStr">
        <is>
          <t>1222 S Orange Ave</t>
        </is>
      </c>
      <c r="E68" s="4" t="inlineStr">
        <is>
          <t>Orlando</t>
        </is>
      </c>
      <c r="F68" s="4" t="inlineStr">
        <is>
          <t>FL</t>
        </is>
      </c>
      <c r="G68" s="4" t="inlineStr">
        <is>
          <t>32806</t>
        </is>
      </c>
      <c r="H68" s="4" t="inlineStr">
        <is>
          <t>321-841-6444</t>
        </is>
      </c>
      <c r="I68" s="4" t="inlineStr">
        <is>
          <t>In-Network</t>
        </is>
      </c>
      <c r="J68" s="4" t="inlineStr">
        <is>
          <t>Yes</t>
        </is>
      </c>
    </row>
    <row r="69">
      <c r="A69" s="4" t="n">
        <v>1174309272</v>
      </c>
      <c r="B69" s="4" t="inlineStr">
        <is>
          <t>Paola Acevedo Lorenzo, PharmD</t>
        </is>
      </c>
      <c r="C69" s="4" t="inlineStr">
        <is>
          <t>Pharmacist</t>
        </is>
      </c>
      <c r="D69" s="4" t="inlineStr">
        <is>
          <t>13800 Veterans Way</t>
        </is>
      </c>
      <c r="E69" s="4" t="inlineStr">
        <is>
          <t>Orlando</t>
        </is>
      </c>
      <c r="F69" s="4" t="inlineStr">
        <is>
          <t>FL</t>
        </is>
      </c>
      <c r="G69" s="4" t="inlineStr">
        <is>
          <t>32827</t>
        </is>
      </c>
      <c r="H69" s="4" t="inlineStr">
        <is>
          <t>407-631-1000</t>
        </is>
      </c>
      <c r="I69" s="4" t="inlineStr">
        <is>
          <t>In-Network</t>
        </is>
      </c>
      <c r="J69" s="4" t="inlineStr">
        <is>
          <t>Yes</t>
        </is>
      </c>
    </row>
    <row r="70">
      <c r="A70" s="4" t="n">
        <v>1366517021</v>
      </c>
      <c r="B70" s="4" t="inlineStr">
        <is>
          <t>Syed Abbas, M.D.</t>
        </is>
      </c>
      <c r="C70" s="4" t="inlineStr">
        <is>
          <t>Psychiatry &amp; Neurology, Psychiatry</t>
        </is>
      </c>
      <c r="D70" s="4" t="inlineStr">
        <is>
          <t>1800 Mercy Dr</t>
        </is>
      </c>
      <c r="E70" s="4" t="inlineStr">
        <is>
          <t>Orlando</t>
        </is>
      </c>
      <c r="F70" s="4" t="inlineStr">
        <is>
          <t>FL</t>
        </is>
      </c>
      <c r="G70" s="4" t="inlineStr">
        <is>
          <t>32808</t>
        </is>
      </c>
      <c r="H70" s="4" t="inlineStr">
        <is>
          <t>407-875-3700</t>
        </is>
      </c>
      <c r="I70" s="4" t="inlineStr">
        <is>
          <t>In-Network</t>
        </is>
      </c>
      <c r="J70" s="4" t="inlineStr">
        <is>
          <t>Yes</t>
        </is>
      </c>
    </row>
    <row r="71">
      <c r="A71" s="4" t="n">
        <v>1487855128</v>
      </c>
      <c r="B71" s="4" t="inlineStr">
        <is>
          <t>Erika Abel, MD</t>
        </is>
      </c>
      <c r="C71" s="4" t="inlineStr">
        <is>
          <t>Hospitalist</t>
        </is>
      </c>
      <c r="D71" s="4" t="inlineStr">
        <is>
          <t>5 Tampa General Cir # 750</t>
        </is>
      </c>
      <c r="E71" s="4" t="inlineStr">
        <is>
          <t>Tampa</t>
        </is>
      </c>
      <c r="F71" s="4" t="inlineStr">
        <is>
          <t>FL</t>
        </is>
      </c>
      <c r="G71" s="4" t="inlineStr">
        <is>
          <t>33606</t>
        </is>
      </c>
      <c r="H71" s="4" t="inlineStr">
        <is>
          <t>813-259-0670</t>
        </is>
      </c>
      <c r="I71" s="4" t="inlineStr">
        <is>
          <t>In-Network</t>
        </is>
      </c>
      <c r="J71" s="4" t="inlineStr">
        <is>
          <t>Yes</t>
        </is>
      </c>
    </row>
    <row r="72">
      <c r="A72" s="4" t="n">
        <v>1659107878</v>
      </c>
      <c r="B72" s="4" t="inlineStr">
        <is>
          <t>Vanessa Acevedo</t>
        </is>
      </c>
      <c r="C72" s="4" t="inlineStr">
        <is>
          <t>Behavior Technician</t>
        </is>
      </c>
      <c r="D72" s="4" t="inlineStr">
        <is>
          <t>5959 Lake Ellenor Dr</t>
        </is>
      </c>
      <c r="E72" s="4" t="inlineStr">
        <is>
          <t>Orlando</t>
        </is>
      </c>
      <c r="F72" s="4" t="inlineStr">
        <is>
          <t>FL</t>
        </is>
      </c>
      <c r="G72" s="4" t="inlineStr">
        <is>
          <t>32809</t>
        </is>
      </c>
      <c r="H72" s="4" t="inlineStr">
        <is>
          <t>407-347-4958</t>
        </is>
      </c>
      <c r="I72" s="4" t="inlineStr">
        <is>
          <t>In-Network</t>
        </is>
      </c>
      <c r="J72" s="4" t="inlineStr">
        <is>
          <t>No</t>
        </is>
      </c>
    </row>
    <row r="73">
      <c r="A73" s="4" t="n">
        <v>1780056226</v>
      </c>
      <c r="B73" s="4" t="inlineStr">
        <is>
          <t>Nina Abdullah, M.A.</t>
        </is>
      </c>
      <c r="C73" s="4" t="inlineStr">
        <is>
          <t>Marriage &amp; Family Therapist</t>
        </is>
      </c>
      <c r="D73" s="4" t="inlineStr">
        <is>
          <t>201 W Plymouth Ave</t>
        </is>
      </c>
      <c r="E73" s="4" t="inlineStr">
        <is>
          <t>Deland</t>
        </is>
      </c>
      <c r="F73" s="4" t="inlineStr">
        <is>
          <t>FL</t>
        </is>
      </c>
      <c r="G73" s="4" t="inlineStr">
        <is>
          <t>32720</t>
        </is>
      </c>
      <c r="H73" s="4" t="inlineStr">
        <is>
          <t>386-402-5169</t>
        </is>
      </c>
      <c r="I73" s="4" t="inlineStr">
        <is>
          <t>In-Network</t>
        </is>
      </c>
      <c r="J73" s="4" t="inlineStr">
        <is>
          <t>Yes</t>
        </is>
      </c>
    </row>
    <row r="74">
      <c r="A74" s="4" t="n">
        <v>1174381305</v>
      </c>
      <c r="B74" s="4" t="inlineStr">
        <is>
          <t>Melany Acosta Vazquez</t>
        </is>
      </c>
      <c r="C74" s="4" t="inlineStr">
        <is>
          <t>Behavior Technician</t>
        </is>
      </c>
      <c r="D74" s="4" t="inlineStr">
        <is>
          <t>4540 Commander Dr</t>
        </is>
      </c>
      <c r="E74" s="4" t="inlineStr">
        <is>
          <t>Orlando</t>
        </is>
      </c>
      <c r="F74" s="4" t="inlineStr">
        <is>
          <t>FL</t>
        </is>
      </c>
      <c r="G74" s="4" t="inlineStr">
        <is>
          <t>32822</t>
        </is>
      </c>
      <c r="H74" s="4" t="inlineStr">
        <is>
          <t>321-261-6501</t>
        </is>
      </c>
      <c r="I74" s="4" t="inlineStr">
        <is>
          <t>In-Network</t>
        </is>
      </c>
      <c r="J74" s="4" t="inlineStr">
        <is>
          <t>Yes</t>
        </is>
      </c>
    </row>
    <row r="75">
      <c r="A75" s="4" t="n">
        <v>1528180981</v>
      </c>
      <c r="B75" s="4" t="inlineStr">
        <is>
          <t>Juan Abellon, M.D.</t>
        </is>
      </c>
      <c r="C75" s="4" t="inlineStr">
        <is>
          <t>Pediatrics</t>
        </is>
      </c>
      <c r="D75" s="4" t="inlineStr">
        <is>
          <t>6100 S. John Young Pkwy</t>
        </is>
      </c>
      <c r="E75" s="4" t="inlineStr">
        <is>
          <t>Orlando</t>
        </is>
      </c>
      <c r="F75" s="4" t="inlineStr">
        <is>
          <t>FL</t>
        </is>
      </c>
      <c r="G75" s="4" t="inlineStr">
        <is>
          <t>32839</t>
        </is>
      </c>
      <c r="H75" s="4" t="inlineStr">
        <is>
          <t>407-398-6470</t>
        </is>
      </c>
      <c r="I75" s="4" t="inlineStr">
        <is>
          <t>In-Network</t>
        </is>
      </c>
      <c r="J75" s="4" t="inlineStr">
        <is>
          <t>Yes</t>
        </is>
      </c>
    </row>
    <row r="76">
      <c r="A76" s="4" t="n">
        <v>1780316307</v>
      </c>
      <c r="B76" s="4" t="inlineStr">
        <is>
          <t>Eamon Abdullah, MD</t>
        </is>
      </c>
      <c r="C76" s="4" t="inlineStr">
        <is>
          <t>Emergency Medicine</t>
        </is>
      </c>
      <c r="D76" s="4" t="inlineStr">
        <is>
          <t>2100 Ocoee Apopka Rd</t>
        </is>
      </c>
      <c r="E76" s="4" t="inlineStr">
        <is>
          <t>Apopka</t>
        </is>
      </c>
      <c r="F76" s="4" t="inlineStr">
        <is>
          <t>FL</t>
        </is>
      </c>
      <c r="G76" s="4" t="inlineStr">
        <is>
          <t>32703</t>
        </is>
      </c>
      <c r="H76" s="4" t="inlineStr">
        <is>
          <t>407-609-7000</t>
        </is>
      </c>
      <c r="I76" s="4" t="inlineStr">
        <is>
          <t>In-Network</t>
        </is>
      </c>
      <c r="J76" s="4" t="inlineStr">
        <is>
          <t>Yes</t>
        </is>
      </c>
    </row>
    <row r="77">
      <c r="A77" s="4" t="n">
        <v>1013904481</v>
      </c>
      <c r="B77" s="4" t="inlineStr">
        <is>
          <t>Said Acosta, CRNA</t>
        </is>
      </c>
      <c r="C77" s="4" t="inlineStr">
        <is>
          <t>Nurse Anesthetist, Certified Registered</t>
        </is>
      </c>
      <c r="D77" s="4" t="inlineStr">
        <is>
          <t>13535 Nemours Pkwy</t>
        </is>
      </c>
      <c r="E77" s="4" t="inlineStr">
        <is>
          <t>Orlando</t>
        </is>
      </c>
      <c r="F77" s="4" t="inlineStr">
        <is>
          <t>FL</t>
        </is>
      </c>
      <c r="G77" s="4" t="inlineStr">
        <is>
          <t>32827</t>
        </is>
      </c>
      <c r="H77" s="4" t="inlineStr">
        <is>
          <t>407-567-4000</t>
        </is>
      </c>
      <c r="I77" s="4" t="inlineStr">
        <is>
          <t>In-Network</t>
        </is>
      </c>
      <c r="J77" s="4" t="inlineStr">
        <is>
          <t>Yes</t>
        </is>
      </c>
    </row>
    <row r="78">
      <c r="A78" s="4" t="n">
        <v>1992178412</v>
      </c>
      <c r="B78" s="4" t="inlineStr">
        <is>
          <t>Samah Abdo</t>
        </is>
      </c>
      <c r="C78" s="4" t="inlineStr">
        <is>
          <t>Pharmacist</t>
        </is>
      </c>
      <c r="D78" s="4" t="inlineStr">
        <is>
          <t>2290 Premier Row</t>
        </is>
      </c>
      <c r="E78" s="4" t="inlineStr">
        <is>
          <t>Orlando</t>
        </is>
      </c>
      <c r="F78" s="4" t="inlineStr">
        <is>
          <t>FL</t>
        </is>
      </c>
      <c r="G78" s="4" t="inlineStr">
        <is>
          <t>32809</t>
        </is>
      </c>
      <c r="H78" s="4" t="inlineStr">
        <is>
          <t>407-453-6470</t>
        </is>
      </c>
      <c r="I78" s="4" t="inlineStr">
        <is>
          <t>Out-of-Network</t>
        </is>
      </c>
      <c r="J78" s="4" t="inlineStr">
        <is>
          <t>No</t>
        </is>
      </c>
    </row>
    <row r="79">
      <c r="A79" s="4" t="n">
        <v>1205793742</v>
      </c>
      <c r="B79" s="4" t="inlineStr">
        <is>
          <t>Kevin Acevedo, SW</t>
        </is>
      </c>
      <c r="C79" s="4" t="inlineStr">
        <is>
          <t>Social Worker</t>
        </is>
      </c>
      <c r="D79" s="4" t="inlineStr">
        <is>
          <t>13101 Bruce B Downs Blvd</t>
        </is>
      </c>
      <c r="E79" s="4" t="inlineStr">
        <is>
          <t>Tampa</t>
        </is>
      </c>
      <c r="F79" s="4" t="inlineStr">
        <is>
          <t>FL</t>
        </is>
      </c>
      <c r="G79" s="4" t="inlineStr">
        <is>
          <t>33612</t>
        </is>
      </c>
      <c r="H79" s="4" t="inlineStr">
        <is>
          <t>813-821-8038</t>
        </is>
      </c>
      <c r="I79" s="4" t="inlineStr">
        <is>
          <t>In-Network</t>
        </is>
      </c>
      <c r="J79" s="4" t="inlineStr">
        <is>
          <t>Yes</t>
        </is>
      </c>
    </row>
    <row r="80">
      <c r="A80" s="4" t="n">
        <v>1104192426</v>
      </c>
      <c r="B80" s="4" t="inlineStr">
        <is>
          <t>John Abarca</t>
        </is>
      </c>
      <c r="C80" s="4" t="inlineStr">
        <is>
          <t>Physical Therapist</t>
        </is>
      </c>
      <c r="D80" s="4" t="inlineStr">
        <is>
          <t>12124 High Tech Ave</t>
        </is>
      </c>
      <c r="E80" s="4" t="inlineStr">
        <is>
          <t>Orlando</t>
        </is>
      </c>
      <c r="F80" s="4" t="inlineStr">
        <is>
          <t>FL</t>
        </is>
      </c>
      <c r="G80" s="4" t="inlineStr">
        <is>
          <t>32817</t>
        </is>
      </c>
      <c r="H80" s="4" t="inlineStr">
        <is>
          <t>800-774-7785</t>
        </is>
      </c>
      <c r="I80" s="4" t="inlineStr">
        <is>
          <t>In-Network</t>
        </is>
      </c>
      <c r="J80" s="4" t="inlineStr">
        <is>
          <t>Yes</t>
        </is>
      </c>
    </row>
    <row r="81">
      <c r="A81" s="4" t="n">
        <v>1982936118</v>
      </c>
      <c r="B81" s="4" t="inlineStr">
        <is>
          <t>Diana Abril-Medina</t>
        </is>
      </c>
      <c r="C81" s="4" t="inlineStr">
        <is>
          <t>Counselor</t>
        </is>
      </c>
      <c r="D81" s="4" t="inlineStr">
        <is>
          <t>6925 Lake Ellenor Dr Ste 12020</t>
        </is>
      </c>
      <c r="E81" s="4" t="inlineStr">
        <is>
          <t>Orlando</t>
        </is>
      </c>
      <c r="F81" s="4" t="inlineStr">
        <is>
          <t>FL</t>
        </is>
      </c>
      <c r="G81" s="4" t="inlineStr">
        <is>
          <t>32809</t>
        </is>
      </c>
      <c r="H81" s="4" t="inlineStr">
        <is>
          <t>407-301-1845</t>
        </is>
      </c>
      <c r="I81" s="4" t="inlineStr">
        <is>
          <t>In-Network</t>
        </is>
      </c>
      <c r="J81" s="4" t="inlineStr">
        <is>
          <t>Yes</t>
        </is>
      </c>
    </row>
    <row r="82">
      <c r="A82" s="4" t="n">
        <v>1164048054</v>
      </c>
      <c r="B82" s="4" t="inlineStr">
        <is>
          <t>Rachel Acevedo</t>
        </is>
      </c>
      <c r="C82" s="4" t="inlineStr">
        <is>
          <t>Behavior Technician</t>
        </is>
      </c>
      <c r="D82" s="4" t="inlineStr">
        <is>
          <t>1515 Park Center Dr Ste 2F</t>
        </is>
      </c>
      <c r="E82" s="4" t="inlineStr">
        <is>
          <t>Orlando</t>
        </is>
      </c>
      <c r="F82" s="4" t="inlineStr">
        <is>
          <t>FL</t>
        </is>
      </c>
      <c r="G82" s="4" t="inlineStr">
        <is>
          <t>32835</t>
        </is>
      </c>
      <c r="H82" s="4" t="inlineStr">
        <is>
          <t>267-597-1029</t>
        </is>
      </c>
      <c r="I82" s="4" t="inlineStr">
        <is>
          <t>In-Network</t>
        </is>
      </c>
      <c r="J82" s="4" t="inlineStr">
        <is>
          <t>Yes</t>
        </is>
      </c>
    </row>
    <row r="83">
      <c r="A83" s="4" t="n">
        <v>1760047021</v>
      </c>
      <c r="B83" s="4" t="inlineStr">
        <is>
          <t>Cateland Abernethy</t>
        </is>
      </c>
      <c r="C83" s="4" t="inlineStr">
        <is>
          <t>Behavior Technician</t>
        </is>
      </c>
      <c r="D83" s="4" t="inlineStr">
        <is>
          <t>5058 Brightmour Cir</t>
        </is>
      </c>
      <c r="E83" s="4" t="inlineStr">
        <is>
          <t>Orlando</t>
        </is>
      </c>
      <c r="F83" s="4" t="inlineStr">
        <is>
          <t>FL</t>
        </is>
      </c>
      <c r="G83" s="4" t="inlineStr">
        <is>
          <t>32837</t>
        </is>
      </c>
      <c r="H83" s="4" t="inlineStr">
        <is>
          <t>904-638-6388</t>
        </is>
      </c>
      <c r="I83" s="4" t="inlineStr">
        <is>
          <t>In-Network</t>
        </is>
      </c>
      <c r="J83" s="4" t="inlineStr">
        <is>
          <t>No</t>
        </is>
      </c>
    </row>
    <row r="84">
      <c r="A84" s="4" t="n">
        <v>1952237844</v>
      </c>
      <c r="B84" s="4" t="inlineStr">
        <is>
          <t>Aisha Abdool</t>
        </is>
      </c>
      <c r="C84" s="4" t="inlineStr">
        <is>
          <t>Student in an Organized Health Care Education/Training Program</t>
        </is>
      </c>
      <c r="D84" s="4" t="inlineStr">
        <is>
          <t>264 East Rollins Street, 6Th Floor</t>
        </is>
      </c>
      <c r="E84" s="4" t="inlineStr">
        <is>
          <t>Orlando</t>
        </is>
      </c>
      <c r="F84" s="4" t="inlineStr">
        <is>
          <t>FL</t>
        </is>
      </c>
      <c r="G84" s="4" t="inlineStr">
        <is>
          <t>32808</t>
        </is>
      </c>
      <c r="H84" s="4" t="inlineStr">
        <is>
          <t>407-303-6729</t>
        </is>
      </c>
      <c r="I84" s="4" t="inlineStr">
        <is>
          <t>In-Network</t>
        </is>
      </c>
      <c r="J84" s="4" t="inlineStr">
        <is>
          <t>Yes</t>
        </is>
      </c>
    </row>
    <row r="85">
      <c r="A85" s="4" t="n">
        <v>1154036499</v>
      </c>
      <c r="B85" s="4" t="inlineStr">
        <is>
          <t>Brooke Abzug, OTD, OTR/L</t>
        </is>
      </c>
      <c r="C85" s="4" t="inlineStr">
        <is>
          <t>Occupational Therapist, Pediatrics</t>
        </is>
      </c>
      <c r="D85" s="4" t="inlineStr">
        <is>
          <t>11602 Lake Underhill Rd Ste 129</t>
        </is>
      </c>
      <c r="E85" s="4" t="inlineStr">
        <is>
          <t>Orlando</t>
        </is>
      </c>
      <c r="F85" s="4" t="inlineStr">
        <is>
          <t>FL</t>
        </is>
      </c>
      <c r="G85" s="4" t="inlineStr">
        <is>
          <t>32825</t>
        </is>
      </c>
      <c r="H85" s="4" t="inlineStr">
        <is>
          <t>407-277-5400</t>
        </is>
      </c>
      <c r="I85" s="4" t="inlineStr">
        <is>
          <t>In-Network</t>
        </is>
      </c>
      <c r="J85" s="4" t="inlineStr">
        <is>
          <t>No</t>
        </is>
      </c>
    </row>
    <row r="86">
      <c r="A86" s="4" t="n">
        <v>1063013845</v>
      </c>
      <c r="B86" s="4" t="inlineStr">
        <is>
          <t>Samuel Acosta</t>
        </is>
      </c>
      <c r="C86" s="4" t="inlineStr">
        <is>
          <t>Nurse Practitioner</t>
        </is>
      </c>
      <c r="D86" s="4" t="inlineStr">
        <is>
          <t>601 E Rollins St</t>
        </is>
      </c>
      <c r="E86" s="4" t="inlineStr">
        <is>
          <t>Orlando</t>
        </is>
      </c>
      <c r="F86" s="4" t="inlineStr">
        <is>
          <t>FL</t>
        </is>
      </c>
      <c r="G86" s="4" t="inlineStr">
        <is>
          <t>32803</t>
        </is>
      </c>
      <c r="H86" s="4" t="inlineStr">
        <is>
          <t>407-303-5600</t>
        </is>
      </c>
      <c r="I86" s="4" t="inlineStr">
        <is>
          <t>In-Network</t>
        </is>
      </c>
      <c r="J86" s="4" t="inlineStr">
        <is>
          <t>Yes</t>
        </is>
      </c>
    </row>
    <row r="87">
      <c r="A87" s="4" t="n">
        <v>1639011414</v>
      </c>
      <c r="B87" s="4" t="inlineStr">
        <is>
          <t>Vincent Adair, MD</t>
        </is>
      </c>
      <c r="C87" s="4" t="inlineStr">
        <is>
          <t>Student in an Organized Health Care Education/Training Program</t>
        </is>
      </c>
      <c r="D87" s="4" t="inlineStr">
        <is>
          <t>252 Underwood St</t>
        </is>
      </c>
      <c r="E87" s="4" t="inlineStr">
        <is>
          <t>Orlando</t>
        </is>
      </c>
      <c r="F87" s="4" t="inlineStr">
        <is>
          <t>FL</t>
        </is>
      </c>
      <c r="G87" s="4" t="inlineStr">
        <is>
          <t>32806</t>
        </is>
      </c>
      <c r="H87" s="4" t="inlineStr">
        <is>
          <t>321-841-5243</t>
        </is>
      </c>
      <c r="I87" s="4" t="inlineStr">
        <is>
          <t>Out-of-Network</t>
        </is>
      </c>
      <c r="J87" s="4" t="inlineStr">
        <is>
          <t>Yes</t>
        </is>
      </c>
    </row>
    <row r="88">
      <c r="A88" s="4" t="n">
        <v>1568333698</v>
      </c>
      <c r="B88" s="4" t="inlineStr">
        <is>
          <t>Natalie Acosta</t>
        </is>
      </c>
      <c r="C88" s="4" t="inlineStr">
        <is>
          <t>Behavior Technician</t>
        </is>
      </c>
      <c r="D88" s="4" t="inlineStr">
        <is>
          <t>3210 Corrine Dr</t>
        </is>
      </c>
      <c r="E88" s="4" t="inlineStr">
        <is>
          <t>Orlando</t>
        </is>
      </c>
      <c r="F88" s="4" t="inlineStr">
        <is>
          <t>FL</t>
        </is>
      </c>
      <c r="G88" s="4" t="inlineStr">
        <is>
          <t>32803</t>
        </is>
      </c>
      <c r="H88" s="4" t="inlineStr">
        <is>
          <t>855-295-3276</t>
        </is>
      </c>
      <c r="I88" s="4" t="inlineStr">
        <is>
          <t>In-Network</t>
        </is>
      </c>
      <c r="J88" s="4" t="inlineStr">
        <is>
          <t>Yes</t>
        </is>
      </c>
    </row>
    <row r="89">
      <c r="A89" s="4" t="n">
        <v>1871124909</v>
      </c>
      <c r="B89" s="4" t="inlineStr">
        <is>
          <t>Mehdi Abouei, MD</t>
        </is>
      </c>
      <c r="C89" s="4" t="inlineStr">
        <is>
          <t>Orthopaedic Surgery</t>
        </is>
      </c>
      <c r="D89" s="4" t="inlineStr">
        <is>
          <t>503 Jack Miller Rd Ste 6</t>
        </is>
      </c>
      <c r="E89" s="4" t="inlineStr">
        <is>
          <t>Ville Platte</t>
        </is>
      </c>
      <c r="F89" s="4" t="inlineStr">
        <is>
          <t>LA</t>
        </is>
      </c>
      <c r="G89" s="4" t="inlineStr">
        <is>
          <t>70586</t>
        </is>
      </c>
      <c r="H89" s="4" t="inlineStr">
        <is>
          <t>337-363-9486</t>
        </is>
      </c>
      <c r="I89" s="4" t="inlineStr">
        <is>
          <t>In-Network</t>
        </is>
      </c>
      <c r="J89" s="4" t="inlineStr">
        <is>
          <t>Yes</t>
        </is>
      </c>
    </row>
    <row r="90">
      <c r="A90" s="4" t="n">
        <v>1649311036</v>
      </c>
      <c r="B90" s="4" t="inlineStr">
        <is>
          <t>Zafir Abdelrahman, Rph</t>
        </is>
      </c>
      <c r="C90" s="4" t="inlineStr">
        <is>
          <t>Pharmacist, Geriatric</t>
        </is>
      </c>
      <c r="D90" s="4" t="inlineStr">
        <is>
          <t>13745 Huntwick Dr</t>
        </is>
      </c>
      <c r="E90" s="4" t="inlineStr">
        <is>
          <t>Orlando</t>
        </is>
      </c>
      <c r="F90" s="4" t="inlineStr">
        <is>
          <t>FL</t>
        </is>
      </c>
      <c r="G90" s="4" t="inlineStr">
        <is>
          <t>32837</t>
        </is>
      </c>
      <c r="H90" s="4" t="inlineStr">
        <is>
          <t>407-257-5585</t>
        </is>
      </c>
      <c r="I90" s="4" t="inlineStr">
        <is>
          <t>Out-of-Network</t>
        </is>
      </c>
      <c r="J90" s="4" t="inlineStr">
        <is>
          <t>Yes</t>
        </is>
      </c>
    </row>
    <row r="91">
      <c r="A91" s="4" t="n">
        <v>1417603242</v>
      </c>
      <c r="B91" s="4" t="inlineStr">
        <is>
          <t>Kishamar Acevedo, DC</t>
        </is>
      </c>
      <c r="C91" s="4" t="inlineStr">
        <is>
          <t>Chiropractor</t>
        </is>
      </c>
      <c r="D91" s="4" t="inlineStr">
        <is>
          <t>2206 E Colonial Dr.</t>
        </is>
      </c>
      <c r="E91" s="4" t="inlineStr">
        <is>
          <t>Orlando</t>
        </is>
      </c>
      <c r="F91" s="4" t="inlineStr">
        <is>
          <t>FL</t>
        </is>
      </c>
      <c r="G91" s="4" t="inlineStr">
        <is>
          <t>32803</t>
        </is>
      </c>
      <c r="H91" s="4" t="inlineStr">
        <is>
          <t>407-839-1045</t>
        </is>
      </c>
      <c r="I91" s="4" t="inlineStr">
        <is>
          <t>In-Network</t>
        </is>
      </c>
      <c r="J91" s="4" t="inlineStr">
        <is>
          <t>No</t>
        </is>
      </c>
    </row>
    <row r="92">
      <c r="A92" s="4" t="n">
        <v>1821444761</v>
      </c>
      <c r="B92" s="4" t="inlineStr">
        <is>
          <t>Yassmeen Abdel-Aty, M.D.</t>
        </is>
      </c>
      <c r="C92" s="4" t="inlineStr">
        <is>
          <t>Otolaryngology, Plastic Surgery within the Head &amp; Neck</t>
        </is>
      </c>
      <c r="D92" s="4" t="inlineStr">
        <is>
          <t>13330 Usf Laurel Dr</t>
        </is>
      </c>
      <c r="E92" s="4" t="inlineStr">
        <is>
          <t>Tampa</t>
        </is>
      </c>
      <c r="F92" s="4" t="inlineStr">
        <is>
          <t>FL</t>
        </is>
      </c>
      <c r="G92" s="4" t="inlineStr">
        <is>
          <t>33612</t>
        </is>
      </c>
      <c r="H92" s="4" t="inlineStr">
        <is>
          <t>813-821-8038</t>
        </is>
      </c>
      <c r="I92" s="4" t="inlineStr">
        <is>
          <t>In-Network</t>
        </is>
      </c>
      <c r="J92" s="4" t="inlineStr">
        <is>
          <t>Yes</t>
        </is>
      </c>
    </row>
    <row r="93">
      <c r="A93" s="4" t="n">
        <v>1215514526</v>
      </c>
      <c r="B93" s="4" t="inlineStr">
        <is>
          <t>Shatha Aboaid, MD</t>
        </is>
      </c>
      <c r="C93" s="4" t="inlineStr">
        <is>
          <t>Internal Medicine</t>
        </is>
      </c>
      <c r="D93" s="4" t="inlineStr">
        <is>
          <t>52 Underwood St</t>
        </is>
      </c>
      <c r="E93" s="4" t="inlineStr">
        <is>
          <t>Orlando</t>
        </is>
      </c>
      <c r="F93" s="4" t="inlineStr">
        <is>
          <t>FL</t>
        </is>
      </c>
      <c r="G93" s="4" t="inlineStr">
        <is>
          <t>32806</t>
        </is>
      </c>
      <c r="H93" s="4" t="inlineStr">
        <is>
          <t>321-841-3581</t>
        </is>
      </c>
      <c r="I93" s="4" t="inlineStr">
        <is>
          <t>In-Network</t>
        </is>
      </c>
      <c r="J93" s="4" t="inlineStr">
        <is>
          <t>Yes</t>
        </is>
      </c>
    </row>
    <row r="94">
      <c r="A94" s="4" t="n">
        <v>1962102665</v>
      </c>
      <c r="B94" s="4" t="inlineStr">
        <is>
          <t>Karim Aboukoura</t>
        </is>
      </c>
      <c r="C94" s="4" t="inlineStr">
        <is>
          <t>Dentist, General Practice</t>
        </is>
      </c>
      <c r="D94" s="4" t="inlineStr">
        <is>
          <t>4509 Shanewood Ct</t>
        </is>
      </c>
      <c r="E94" s="4" t="inlineStr">
        <is>
          <t>Orlando</t>
        </is>
      </c>
      <c r="F94" s="4" t="inlineStr">
        <is>
          <t>FL</t>
        </is>
      </c>
      <c r="G94" s="4" t="inlineStr">
        <is>
          <t>32837</t>
        </is>
      </c>
      <c r="H94" s="4" t="inlineStr">
        <is>
          <t>407-454-4687</t>
        </is>
      </c>
      <c r="I94" s="4" t="inlineStr">
        <is>
          <t>In-Network</t>
        </is>
      </c>
      <c r="J94" s="4" t="inlineStr">
        <is>
          <t>Yes</t>
        </is>
      </c>
    </row>
    <row r="95">
      <c r="A95" s="4" t="n">
        <v>1124094719</v>
      </c>
      <c r="B95" s="4" t="inlineStr">
        <is>
          <t>Joy Ablordeppey, MD</t>
        </is>
      </c>
      <c r="C95" s="4" t="inlineStr">
        <is>
          <t>Family Medicine</t>
        </is>
      </c>
      <c r="D95" s="4" t="inlineStr">
        <is>
          <t>10225 Ulmerton Rd Ste 1A</t>
        </is>
      </c>
      <c r="E95" s="4" t="inlineStr">
        <is>
          <t>Largo</t>
        </is>
      </c>
      <c r="F95" s="4" t="inlineStr">
        <is>
          <t>FL</t>
        </is>
      </c>
      <c r="G95" s="4" t="inlineStr">
        <is>
          <t>33771</t>
        </is>
      </c>
      <c r="H95" s="4" t="inlineStr">
        <is>
          <t>727-585-7408</t>
        </is>
      </c>
      <c r="I95" s="4" t="inlineStr">
        <is>
          <t>Out-of-Network</t>
        </is>
      </c>
      <c r="J95" s="4" t="inlineStr">
        <is>
          <t>Yes</t>
        </is>
      </c>
    </row>
    <row r="96">
      <c r="A96" s="4" t="n">
        <v>1275708141</v>
      </c>
      <c r="B96" s="4" t="inlineStr">
        <is>
          <t>Monica Abare, PA-C</t>
        </is>
      </c>
      <c r="C96" s="4" t="inlineStr">
        <is>
          <t>Physician Assistant</t>
        </is>
      </c>
      <c r="D96" s="4" t="inlineStr">
        <is>
          <t>818 Main Ln</t>
        </is>
      </c>
      <c r="E96" s="4" t="inlineStr">
        <is>
          <t>Orlando</t>
        </is>
      </c>
      <c r="F96" s="4" t="inlineStr">
        <is>
          <t>FL</t>
        </is>
      </c>
      <c r="G96" s="4" t="inlineStr">
        <is>
          <t>32801</t>
        </is>
      </c>
      <c r="H96" s="4" t="inlineStr">
        <is>
          <t>321-841-5212</t>
        </is>
      </c>
      <c r="I96" s="4" t="inlineStr">
        <is>
          <t>In-Network</t>
        </is>
      </c>
      <c r="J96" s="4" t="inlineStr">
        <is>
          <t>Yes</t>
        </is>
      </c>
    </row>
    <row r="97">
      <c r="A97" s="4" t="n">
        <v>1326243908</v>
      </c>
      <c r="B97" s="4" t="inlineStr">
        <is>
          <t>Alaa Abd El Rahman, M.D.</t>
        </is>
      </c>
      <c r="C97" s="4" t="inlineStr">
        <is>
          <t>Internal Medicine</t>
        </is>
      </c>
      <c r="D97" s="4" t="inlineStr">
        <is>
          <t>86 W Underwood St</t>
        </is>
      </c>
      <c r="E97" s="4" t="inlineStr">
        <is>
          <t>Orlando</t>
        </is>
      </c>
      <c r="F97" s="4" t="inlineStr">
        <is>
          <t>FL</t>
        </is>
      </c>
      <c r="G97" s="4" t="inlineStr">
        <is>
          <t>32806</t>
        </is>
      </c>
      <c r="H97" s="4" t="inlineStr">
        <is>
          <t>888-912-3648</t>
        </is>
      </c>
      <c r="I97" s="4" t="inlineStr">
        <is>
          <t>In-Network</t>
        </is>
      </c>
      <c r="J97" s="4" t="inlineStr">
        <is>
          <t>Yes</t>
        </is>
      </c>
    </row>
    <row r="98">
      <c r="A98" s="4" t="n">
        <v>1093564833</v>
      </c>
      <c r="B98" s="4" t="inlineStr">
        <is>
          <t>Carlos Abreu Perez</t>
        </is>
      </c>
      <c r="C98" s="4" t="inlineStr">
        <is>
          <t>Counselor, Mental Health</t>
        </is>
      </c>
      <c r="D98" s="4" t="inlineStr">
        <is>
          <t>7726 Winegard Rd Ste 53</t>
        </is>
      </c>
      <c r="E98" s="4" t="inlineStr">
        <is>
          <t>Orlando</t>
        </is>
      </c>
      <c r="F98" s="4" t="inlineStr">
        <is>
          <t>FL</t>
        </is>
      </c>
      <c r="G98" s="4" t="inlineStr">
        <is>
          <t>32809</t>
        </is>
      </c>
      <c r="H98" s="4" t="inlineStr">
        <is>
          <t>407-900-5278</t>
        </is>
      </c>
      <c r="I98" s="4" t="inlineStr">
        <is>
          <t>Out-of-Network</t>
        </is>
      </c>
      <c r="J98" s="4" t="inlineStr">
        <is>
          <t>Yes</t>
        </is>
      </c>
    </row>
    <row r="99">
      <c r="A99" s="4" t="n">
        <v>1346279460</v>
      </c>
      <c r="B99" s="4" t="inlineStr">
        <is>
          <t>Basima Abdul-Razak, MD</t>
        </is>
      </c>
      <c r="C99" s="4" t="inlineStr">
        <is>
          <t>Pediatrics</t>
        </is>
      </c>
      <c r="D99" s="4" t="inlineStr">
        <is>
          <t>801 E Rollins St</t>
        </is>
      </c>
      <c r="E99" s="4" t="inlineStr">
        <is>
          <t>Orlando</t>
        </is>
      </c>
      <c r="F99" s="4" t="inlineStr">
        <is>
          <t>FL</t>
        </is>
      </c>
      <c r="G99" s="4" t="inlineStr">
        <is>
          <t>32803</t>
        </is>
      </c>
      <c r="H99" s="4" t="inlineStr">
        <is>
          <t>407-975-5123</t>
        </is>
      </c>
      <c r="I99" s="4" t="inlineStr">
        <is>
          <t>In-Network</t>
        </is>
      </c>
      <c r="J99" s="4" t="inlineStr">
        <is>
          <t>Yes</t>
        </is>
      </c>
    </row>
    <row r="100">
      <c r="A100" s="4" t="n">
        <v>1780048397</v>
      </c>
      <c r="B100" s="4" t="inlineStr">
        <is>
          <t>Omer Abdul Hamid</t>
        </is>
      </c>
      <c r="C100" s="4" t="inlineStr">
        <is>
          <t>Psychiatry &amp; Neurology, Neurology with Special Qualifications in Child Neurology</t>
        </is>
      </c>
      <c r="D100" s="4" t="inlineStr">
        <is>
          <t>6535 Nemours Pkwy</t>
        </is>
      </c>
      <c r="E100" s="4" t="inlineStr">
        <is>
          <t>Orlando</t>
        </is>
      </c>
      <c r="F100" s="4" t="inlineStr">
        <is>
          <t>FL</t>
        </is>
      </c>
      <c r="G100" s="4" t="inlineStr">
        <is>
          <t>32827</t>
        </is>
      </c>
      <c r="H100" s="4" t="inlineStr">
        <is>
          <t>407-567-4000</t>
        </is>
      </c>
      <c r="I100" s="4" t="inlineStr">
        <is>
          <t>Out-of-Network</t>
        </is>
      </c>
      <c r="J100" s="4" t="inlineStr">
        <is>
          <t>Yes</t>
        </is>
      </c>
    </row>
    <row r="101">
      <c r="A101" s="4" t="n">
        <v>1881217412</v>
      </c>
      <c r="B101" s="4" t="inlineStr">
        <is>
          <t>Meagan Acevedo, MD</t>
        </is>
      </c>
      <c r="C101" s="4" t="inlineStr">
        <is>
          <t>Pediatrics</t>
        </is>
      </c>
      <c r="D101" s="4" t="inlineStr">
        <is>
          <t>51 Pennsylvania St</t>
        </is>
      </c>
      <c r="E101" s="4" t="inlineStr">
        <is>
          <t>Orlando</t>
        </is>
      </c>
      <c r="F101" s="4" t="inlineStr">
        <is>
          <t>FL</t>
        </is>
      </c>
      <c r="G101" s="4" t="inlineStr">
        <is>
          <t>32806</t>
        </is>
      </c>
      <c r="H101" s="4" t="inlineStr">
        <is>
          <t>321-843-3220</t>
        </is>
      </c>
      <c r="I101" s="4" t="inlineStr">
        <is>
          <t>In-Network</t>
        </is>
      </c>
      <c r="J101" s="4" t="inlineStr">
        <is>
          <t>No</t>
        </is>
      </c>
    </row>
    <row r="102">
      <c r="A102" s="4" t="n">
        <v>1528871589</v>
      </c>
      <c r="B102" s="4" t="inlineStr">
        <is>
          <t>Tamar Abisror</t>
        </is>
      </c>
      <c r="C102" s="4" t="inlineStr">
        <is>
          <t>Counselor, Mental Health</t>
        </is>
      </c>
      <c r="D102" s="4" t="inlineStr">
        <is>
          <t>8612 Great Cove Dr</t>
        </is>
      </c>
      <c r="E102" s="4" t="inlineStr">
        <is>
          <t>Orlando</t>
        </is>
      </c>
      <c r="F102" s="4" t="inlineStr">
        <is>
          <t>FL</t>
        </is>
      </c>
      <c r="G102" s="4" t="inlineStr">
        <is>
          <t>32819</t>
        </is>
      </c>
      <c r="H102" s="4" t="inlineStr">
        <is>
          <t>786-859-7256</t>
        </is>
      </c>
      <c r="I102" s="4" t="inlineStr">
        <is>
          <t>In-Network</t>
        </is>
      </c>
      <c r="J102" s="4" t="inlineStr">
        <is>
          <t>Yes</t>
        </is>
      </c>
    </row>
    <row r="103">
      <c r="A103" s="4" t="n">
        <v>1235813775</v>
      </c>
      <c r="B103" s="4" t="inlineStr">
        <is>
          <t>Cesar Abreu</t>
        </is>
      </c>
      <c r="C103" s="4" t="inlineStr">
        <is>
          <t>Hospitalist</t>
        </is>
      </c>
      <c r="D103" s="4" t="inlineStr">
        <is>
          <t>1478 Sackett Cir</t>
        </is>
      </c>
      <c r="E103" s="4" t="inlineStr">
        <is>
          <t>Orlando</t>
        </is>
      </c>
      <c r="F103" s="4" t="inlineStr">
        <is>
          <t>FL</t>
        </is>
      </c>
      <c r="G103" s="4" t="inlineStr">
        <is>
          <t>32818</t>
        </is>
      </c>
      <c r="H103" s="4" t="inlineStr">
        <is>
          <t>405-259-6174</t>
        </is>
      </c>
      <c r="I103" s="4" t="inlineStr">
        <is>
          <t>In-Network</t>
        </is>
      </c>
      <c r="J103" s="4" t="inlineStr">
        <is>
          <t>No</t>
        </is>
      </c>
    </row>
    <row r="104">
      <c r="A104" s="4" t="n">
        <v>1093210858</v>
      </c>
      <c r="B104" s="4" t="inlineStr">
        <is>
          <t>Andrew Abadeer, MD</t>
        </is>
      </c>
      <c r="C104" s="4" t="inlineStr">
        <is>
          <t>Plastic Surgery</t>
        </is>
      </c>
      <c r="D104" s="4" t="inlineStr">
        <is>
          <t>2 Tampa General Cir</t>
        </is>
      </c>
      <c r="E104" s="4" t="inlineStr">
        <is>
          <t>Tampa</t>
        </is>
      </c>
      <c r="F104" s="4" t="inlineStr">
        <is>
          <t>FL</t>
        </is>
      </c>
      <c r="G104" s="4" t="inlineStr">
        <is>
          <t>33606</t>
        </is>
      </c>
      <c r="H104" s="4" t="inlineStr">
        <is>
          <t>813-821-8038</t>
        </is>
      </c>
      <c r="I104" s="4" t="inlineStr">
        <is>
          <t>In-Network</t>
        </is>
      </c>
      <c r="J104" s="4" t="inlineStr">
        <is>
          <t>Yes</t>
        </is>
      </c>
    </row>
    <row r="105">
      <c r="A105" s="4" t="n">
        <v>1386299782</v>
      </c>
      <c r="B105" s="4" t="inlineStr">
        <is>
          <t>Lilian Ablan Roldan, MD</t>
        </is>
      </c>
      <c r="C105" s="4" t="inlineStr">
        <is>
          <t>Pediatrics</t>
        </is>
      </c>
      <c r="D105" s="4" t="inlineStr">
        <is>
          <t>615 E Princeton St Ste 104</t>
        </is>
      </c>
      <c r="E105" s="4" t="inlineStr">
        <is>
          <t>Orlando</t>
        </is>
      </c>
      <c r="F105" s="4" t="inlineStr">
        <is>
          <t>FL</t>
        </is>
      </c>
      <c r="G105" s="4" t="inlineStr">
        <is>
          <t>32803</t>
        </is>
      </c>
      <c r="H105" s="4" t="inlineStr">
        <is>
          <t>407-303-6920</t>
        </is>
      </c>
      <c r="I105" s="4" t="inlineStr">
        <is>
          <t>In-Network</t>
        </is>
      </c>
      <c r="J105" s="4" t="inlineStr">
        <is>
          <t>Yes</t>
        </is>
      </c>
    </row>
    <row r="106">
      <c r="A106" s="4" t="n">
        <v>1912336520</v>
      </c>
      <c r="B106" s="4" t="inlineStr">
        <is>
          <t>Wendy Acosta Luna, APRN</t>
        </is>
      </c>
      <c r="C106" s="4" t="inlineStr">
        <is>
          <t>Nurse Practitioner, Family</t>
        </is>
      </c>
      <c r="D106" s="4" t="inlineStr">
        <is>
          <t>258 S Chickasaw Trl Ste 200</t>
        </is>
      </c>
      <c r="E106" s="4" t="inlineStr">
        <is>
          <t>Orlando</t>
        </is>
      </c>
      <c r="F106" s="4" t="inlineStr">
        <is>
          <t>FL</t>
        </is>
      </c>
      <c r="G106" s="4" t="inlineStr">
        <is>
          <t>32825</t>
        </is>
      </c>
      <c r="H106" s="4" t="inlineStr">
        <is>
          <t>407-303-6865</t>
        </is>
      </c>
      <c r="I106" s="4" t="inlineStr">
        <is>
          <t>In-Network</t>
        </is>
      </c>
      <c r="J106" s="4" t="inlineStr">
        <is>
          <t>Yes</t>
        </is>
      </c>
    </row>
    <row r="107">
      <c r="A107" s="4" t="n">
        <v>1568079366</v>
      </c>
      <c r="B107" s="4" t="inlineStr">
        <is>
          <t>Shiji Aby, APRN</t>
        </is>
      </c>
      <c r="C107" s="4" t="inlineStr">
        <is>
          <t>Nurse Practitioner, Adult Health</t>
        </is>
      </c>
      <c r="D107" s="4" t="inlineStr">
        <is>
          <t>9430 Turkey Lake Rd Ste 110</t>
        </is>
      </c>
      <c r="E107" s="4" t="inlineStr">
        <is>
          <t>Orlando</t>
        </is>
      </c>
      <c r="F107" s="4" t="inlineStr">
        <is>
          <t>FL</t>
        </is>
      </c>
      <c r="G107" s="4" t="inlineStr">
        <is>
          <t>32819</t>
        </is>
      </c>
      <c r="H107" s="4" t="inlineStr">
        <is>
          <t>321-841-7856</t>
        </is>
      </c>
      <c r="I107" s="4" t="inlineStr">
        <is>
          <t>In-Network</t>
        </is>
      </c>
      <c r="J107" s="4" t="inlineStr">
        <is>
          <t>Yes</t>
        </is>
      </c>
    </row>
    <row r="108">
      <c r="A108" s="4" t="n">
        <v>1407388499</v>
      </c>
      <c r="B108" s="4" t="inlineStr">
        <is>
          <t>Kathleen Acevedo, LMHC, MED</t>
        </is>
      </c>
      <c r="C108" s="4" t="inlineStr">
        <is>
          <t>Counselor, Mental Health</t>
        </is>
      </c>
      <c r="D108" s="4" t="inlineStr">
        <is>
          <t>3680 Avalon Park East Blvd Ste 301</t>
        </is>
      </c>
      <c r="E108" s="4" t="inlineStr">
        <is>
          <t>Orlando</t>
        </is>
      </c>
      <c r="F108" s="4" t="inlineStr">
        <is>
          <t>FL</t>
        </is>
      </c>
      <c r="G108" s="4" t="inlineStr">
        <is>
          <t>32828</t>
        </is>
      </c>
      <c r="H108" s="4" t="inlineStr">
        <is>
          <t>321-351-4925</t>
        </is>
      </c>
      <c r="I108" s="4" t="inlineStr">
        <is>
          <t>In-Network</t>
        </is>
      </c>
      <c r="J108" s="4" t="inlineStr">
        <is>
          <t>Yes</t>
        </is>
      </c>
    </row>
    <row r="109">
      <c r="A109" s="4" t="n">
        <v>1528589785</v>
      </c>
      <c r="B109" s="4" t="inlineStr">
        <is>
          <t>Xenibeth Abreu Almodovar, MSW</t>
        </is>
      </c>
      <c r="C109" s="4" t="inlineStr">
        <is>
          <t>Social Worker, Clinical</t>
        </is>
      </c>
      <c r="D109" s="4" t="inlineStr">
        <is>
          <t>6900 S Orange Blossom Trl Ste 402</t>
        </is>
      </c>
      <c r="E109" s="4" t="inlineStr">
        <is>
          <t>Orlando</t>
        </is>
      </c>
      <c r="F109" s="4" t="inlineStr">
        <is>
          <t>FL</t>
        </is>
      </c>
      <c r="G109" s="4" t="inlineStr">
        <is>
          <t>32809</t>
        </is>
      </c>
      <c r="H109" s="4" t="inlineStr">
        <is>
          <t>407-382-9079</t>
        </is>
      </c>
      <c r="I109" s="4" t="inlineStr">
        <is>
          <t>In-Network</t>
        </is>
      </c>
      <c r="J109" s="4" t="inlineStr">
        <is>
          <t>No</t>
        </is>
      </c>
    </row>
    <row r="110">
      <c r="A110" s="4" t="n">
        <v>1679883441</v>
      </c>
      <c r="B110" s="4" t="inlineStr">
        <is>
          <t>Harold Acosta, DMD</t>
        </is>
      </c>
      <c r="C110" s="4" t="inlineStr">
        <is>
          <t>Dentist</t>
        </is>
      </c>
      <c r="D110" s="4" t="inlineStr">
        <is>
          <t>4426 Old Winter Garden Rd</t>
        </is>
      </c>
      <c r="E110" s="4" t="inlineStr">
        <is>
          <t>Orlando</t>
        </is>
      </c>
      <c r="F110" s="4" t="inlineStr">
        <is>
          <t>FL</t>
        </is>
      </c>
      <c r="G110" s="4" t="inlineStr">
        <is>
          <t>32811</t>
        </is>
      </c>
      <c r="H110" s="4" t="inlineStr">
        <is>
          <t>407-428-5751</t>
        </is>
      </c>
      <c r="I110" s="4" t="inlineStr">
        <is>
          <t>In-Network</t>
        </is>
      </c>
      <c r="J110" s="4" t="inlineStr">
        <is>
          <t>Yes</t>
        </is>
      </c>
    </row>
    <row r="111">
      <c r="A111" s="4" t="n">
        <v>1669967238</v>
      </c>
      <c r="B111" s="4" t="inlineStr">
        <is>
          <t>Kasey Abueg</t>
        </is>
      </c>
      <c r="C111" s="4" t="inlineStr">
        <is>
          <t xml:space="preserve">Speech-Language Pathologist,  </t>
        </is>
      </c>
      <c r="D111" s="4" t="inlineStr">
        <is>
          <t>606 Sherburn Ct</t>
        </is>
      </c>
      <c r="E111" s="4" t="inlineStr">
        <is>
          <t>Orlando</t>
        </is>
      </c>
      <c r="F111" s="4" t="inlineStr">
        <is>
          <t>FL</t>
        </is>
      </c>
      <c r="G111" s="4" t="inlineStr">
        <is>
          <t>32828</t>
        </is>
      </c>
      <c r="H111" s="4" t="inlineStr">
        <is>
          <t>407-810-2773</t>
        </is>
      </c>
      <c r="I111" s="4" t="inlineStr">
        <is>
          <t>In-Network</t>
        </is>
      </c>
      <c r="J111" s="4" t="inlineStr">
        <is>
          <t>Yes</t>
        </is>
      </c>
    </row>
    <row r="112">
      <c r="A112" s="4" t="n">
        <v>1861350183</v>
      </c>
      <c r="B112" s="4" t="inlineStr">
        <is>
          <t>Bibin Abraham, RN</t>
        </is>
      </c>
      <c r="C112" s="4" t="inlineStr">
        <is>
          <t>Registered Nurse, Critical Care Medicine</t>
        </is>
      </c>
      <c r="D112" s="4" t="inlineStr">
        <is>
          <t>55 W Gore St</t>
        </is>
      </c>
      <c r="E112" s="4" t="inlineStr">
        <is>
          <t>Orlando</t>
        </is>
      </c>
      <c r="F112" s="4" t="inlineStr">
        <is>
          <t>FL</t>
        </is>
      </c>
      <c r="G112" s="4" t="inlineStr">
        <is>
          <t>32806</t>
        </is>
      </c>
      <c r="H112" s="4" t="inlineStr">
        <is>
          <t>727-318-7243</t>
        </is>
      </c>
      <c r="I112" s="4" t="inlineStr">
        <is>
          <t>Out-of-Network</t>
        </is>
      </c>
      <c r="J112" s="4" t="inlineStr">
        <is>
          <t>Yes</t>
        </is>
      </c>
    </row>
    <row r="113">
      <c r="A113" s="4" t="n">
        <v>1336682335</v>
      </c>
      <c r="B113" s="4" t="inlineStr">
        <is>
          <t>Robert Abraham, D.C.</t>
        </is>
      </c>
      <c r="C113" s="4" t="inlineStr">
        <is>
          <t>Chiropractor</t>
        </is>
      </c>
      <c r="D113" s="4" t="inlineStr">
        <is>
          <t>1954 W Sr 426 Ste 1112</t>
        </is>
      </c>
      <c r="E113" s="4" t="inlineStr">
        <is>
          <t>Oviedo</t>
        </is>
      </c>
      <c r="F113" s="4" t="inlineStr">
        <is>
          <t>FL</t>
        </is>
      </c>
      <c r="G113" s="4" t="inlineStr">
        <is>
          <t>32765</t>
        </is>
      </c>
      <c r="H113" s="4" t="inlineStr">
        <is>
          <t>321-217-3986</t>
        </is>
      </c>
      <c r="I113" s="4" t="inlineStr">
        <is>
          <t>In-Network</t>
        </is>
      </c>
      <c r="J113" s="4" t="inlineStr">
        <is>
          <t>Yes</t>
        </is>
      </c>
    </row>
    <row r="114">
      <c r="A114" s="4" t="n">
        <v>1376417568</v>
      </c>
      <c r="B114" s="4" t="inlineStr">
        <is>
          <t>Lisandra Abreu Zamora</t>
        </is>
      </c>
      <c r="C114" s="4" t="inlineStr">
        <is>
          <t>Behavior Technician</t>
        </is>
      </c>
      <c r="D114" s="4" t="inlineStr">
        <is>
          <t>8272 Charlin Pkwy</t>
        </is>
      </c>
      <c r="E114" s="4" t="inlineStr">
        <is>
          <t>Orlando</t>
        </is>
      </c>
      <c r="F114" s="4" t="inlineStr">
        <is>
          <t>FL</t>
        </is>
      </c>
      <c r="G114" s="4" t="inlineStr">
        <is>
          <t>32822</t>
        </is>
      </c>
      <c r="H114" s="4" t="inlineStr">
        <is>
          <t>608-707-4422</t>
        </is>
      </c>
      <c r="I114" s="4" t="inlineStr">
        <is>
          <t>In-Network</t>
        </is>
      </c>
      <c r="J114" s="4" t="inlineStr">
        <is>
          <t>No</t>
        </is>
      </c>
    </row>
    <row r="115">
      <c r="A115" s="4" t="n">
        <v>1922493600</v>
      </c>
      <c r="B115" s="4" t="inlineStr">
        <is>
          <t>Ancil Abney, MD</t>
        </is>
      </c>
      <c r="C115" s="4" t="inlineStr">
        <is>
          <t>Pediatrics</t>
        </is>
      </c>
      <c r="D115" s="4" t="inlineStr">
        <is>
          <t>51 Pennsylvania St</t>
        </is>
      </c>
      <c r="E115" s="4" t="inlineStr">
        <is>
          <t>Orlando</t>
        </is>
      </c>
      <c r="F115" s="4" t="inlineStr">
        <is>
          <t>FL</t>
        </is>
      </c>
      <c r="G115" s="4" t="inlineStr">
        <is>
          <t>32806</t>
        </is>
      </c>
      <c r="H115" s="4" t="inlineStr">
        <is>
          <t>321-843-3220</t>
        </is>
      </c>
      <c r="I115" s="4" t="inlineStr">
        <is>
          <t>In-Network</t>
        </is>
      </c>
      <c r="J115" s="4" t="inlineStr">
        <is>
          <t>Yes</t>
        </is>
      </c>
    </row>
    <row r="116">
      <c r="A116" s="4" t="n">
        <v>1770363962</v>
      </c>
      <c r="B116" s="4" t="inlineStr">
        <is>
          <t>Jack Achenbach, RDN</t>
        </is>
      </c>
      <c r="C116" s="4" t="inlineStr">
        <is>
          <t>Dietitian, Registered</t>
        </is>
      </c>
      <c r="D116" s="4" t="inlineStr">
        <is>
          <t>13841 Osprey Links Rd</t>
        </is>
      </c>
      <c r="E116" s="4" t="inlineStr">
        <is>
          <t>Orlando</t>
        </is>
      </c>
      <c r="F116" s="4" t="inlineStr">
        <is>
          <t>FL</t>
        </is>
      </c>
      <c r="G116" s="4" t="inlineStr">
        <is>
          <t>32837</t>
        </is>
      </c>
      <c r="H116" s="4" t="inlineStr">
        <is>
          <t>484-886-6357</t>
        </is>
      </c>
      <c r="I116" s="4" t="inlineStr">
        <is>
          <t>In-Network</t>
        </is>
      </c>
      <c r="J116" s="4" t="inlineStr">
        <is>
          <t>No</t>
        </is>
      </c>
    </row>
    <row r="117">
      <c r="A117" s="4" t="n">
        <v>1497437214</v>
      </c>
      <c r="B117" s="4" t="inlineStr">
        <is>
          <t>Alaa Abdul Ghani</t>
        </is>
      </c>
      <c r="C117" s="4" t="inlineStr">
        <is>
          <t>Pharmacist</t>
        </is>
      </c>
      <c r="D117" s="4" t="inlineStr">
        <is>
          <t>3502 Edgewater Dr</t>
        </is>
      </c>
      <c r="E117" s="4" t="inlineStr">
        <is>
          <t>Orlando</t>
        </is>
      </c>
      <c r="F117" s="4" t="inlineStr">
        <is>
          <t>FL</t>
        </is>
      </c>
      <c r="G117" s="4" t="inlineStr">
        <is>
          <t>32804</t>
        </is>
      </c>
      <c r="H117" s="4" t="inlineStr">
        <is>
          <t>407-245-1001</t>
        </is>
      </c>
      <c r="I117" s="4" t="inlineStr">
        <is>
          <t>In-Network</t>
        </is>
      </c>
      <c r="J117" s="4" t="inlineStr">
        <is>
          <t>Yes</t>
        </is>
      </c>
    </row>
    <row r="118">
      <c r="A118" s="4" t="n">
        <v>1326542036</v>
      </c>
      <c r="B118" s="4" t="inlineStr">
        <is>
          <t>Yeissel Abrahantes Rodriguez, MD</t>
        </is>
      </c>
      <c r="C118" s="4" t="inlineStr">
        <is>
          <t>Internal Medicine</t>
        </is>
      </c>
      <c r="D118" s="4" t="inlineStr">
        <is>
          <t>86 W Underwood St</t>
        </is>
      </c>
      <c r="E118" s="4" t="inlineStr">
        <is>
          <t>Orlando</t>
        </is>
      </c>
      <c r="F118" s="4" t="inlineStr">
        <is>
          <t>FL</t>
        </is>
      </c>
      <c r="G118" s="4" t="inlineStr">
        <is>
          <t>32806</t>
        </is>
      </c>
      <c r="H118" s="4" t="inlineStr">
        <is>
          <t>888-912-8359</t>
        </is>
      </c>
      <c r="I118" s="4" t="inlineStr">
        <is>
          <t>In-Network</t>
        </is>
      </c>
      <c r="J118" s="4" t="inlineStr">
        <is>
          <t>Yes</t>
        </is>
      </c>
    </row>
    <row r="119">
      <c r="A119" s="4" t="n">
        <v>1215649389</v>
      </c>
      <c r="B119" s="4" t="inlineStr">
        <is>
          <t>Ashley Acosta, DNP, FNP, APRN-c</t>
        </is>
      </c>
      <c r="C119" s="4" t="inlineStr">
        <is>
          <t>Nurse Practitioner, Family</t>
        </is>
      </c>
      <c r="D119" s="4" t="inlineStr">
        <is>
          <t>5900 Turkey Lake Rd</t>
        </is>
      </c>
      <c r="E119" s="4" t="inlineStr">
        <is>
          <t>Orlando</t>
        </is>
      </c>
      <c r="F119" s="4" t="inlineStr">
        <is>
          <t>FL</t>
        </is>
      </c>
      <c r="G119" s="4" t="inlineStr">
        <is>
          <t>32819</t>
        </is>
      </c>
      <c r="H119" s="4" t="inlineStr">
        <is>
          <t>929-384-4460</t>
        </is>
      </c>
      <c r="I119" s="4" t="inlineStr">
        <is>
          <t>In-Network</t>
        </is>
      </c>
      <c r="J119" s="4" t="inlineStr">
        <is>
          <t>Yes</t>
        </is>
      </c>
    </row>
    <row r="120">
      <c r="A120" s="4" t="n">
        <v>1083200877</v>
      </c>
      <c r="B120" s="4" t="inlineStr">
        <is>
          <t>Allison Acosta, DC</t>
        </is>
      </c>
      <c r="C120" s="4" t="inlineStr">
        <is>
          <t>Chiropractor</t>
        </is>
      </c>
      <c r="D120" s="4" t="inlineStr">
        <is>
          <t>6001 Vineland Rd</t>
        </is>
      </c>
      <c r="E120" s="4" t="inlineStr">
        <is>
          <t>Orlando</t>
        </is>
      </c>
      <c r="F120" s="4" t="inlineStr">
        <is>
          <t>FL</t>
        </is>
      </c>
      <c r="G120" s="4" t="inlineStr">
        <is>
          <t>32819</t>
        </is>
      </c>
      <c r="H120" s="4" t="inlineStr">
        <is>
          <t>407-271-8845</t>
        </is>
      </c>
      <c r="I120" s="4" t="inlineStr">
        <is>
          <t>In-Network</t>
        </is>
      </c>
      <c r="J120" s="4" t="inlineStr">
        <is>
          <t>No</t>
        </is>
      </c>
    </row>
    <row r="121">
      <c r="A121" s="4" t="n">
        <v>1497994479</v>
      </c>
      <c r="B121" s="4" t="inlineStr">
        <is>
          <t>Gena Abel</t>
        </is>
      </c>
      <c r="C121" s="4" t="inlineStr">
        <is>
          <t>Counselor</t>
        </is>
      </c>
      <c r="D121" s="4" t="inlineStr">
        <is>
          <t>1800 Mercy Dr</t>
        </is>
      </c>
      <c r="E121" s="4" t="inlineStr">
        <is>
          <t>Orlando</t>
        </is>
      </c>
      <c r="F121" s="4" t="inlineStr">
        <is>
          <t>FL</t>
        </is>
      </c>
      <c r="G121" s="4" t="inlineStr">
        <is>
          <t>32808</t>
        </is>
      </c>
      <c r="H121" s="4" t="inlineStr">
        <is>
          <t>407-875-3700</t>
        </is>
      </c>
      <c r="I121" s="4" t="inlineStr">
        <is>
          <t>In-Network</t>
        </is>
      </c>
      <c r="J121" s="4" t="inlineStr">
        <is>
          <t>Yes</t>
        </is>
      </c>
    </row>
    <row r="122">
      <c r="A122" s="4" t="n">
        <v>1124955497</v>
      </c>
      <c r="B122" s="4" t="inlineStr">
        <is>
          <t>Eshak Abdalla, DPT</t>
        </is>
      </c>
      <c r="C122" s="4" t="inlineStr">
        <is>
          <t>Physical Therapist</t>
        </is>
      </c>
      <c r="D122" s="4" t="inlineStr">
        <is>
          <t>2400 N Orange Blossom Trl Ste 201</t>
        </is>
      </c>
      <c r="E122" s="4" t="inlineStr">
        <is>
          <t>Kissimmee</t>
        </is>
      </c>
      <c r="F122" s="4" t="inlineStr">
        <is>
          <t>FL</t>
        </is>
      </c>
      <c r="G122" s="4" t="inlineStr">
        <is>
          <t>34744</t>
        </is>
      </c>
      <c r="H122" s="4" t="inlineStr">
        <is>
          <t>407-933-6684</t>
        </is>
      </c>
      <c r="I122" s="4" t="inlineStr">
        <is>
          <t>In-Network</t>
        </is>
      </c>
      <c r="J122" s="4" t="inlineStr">
        <is>
          <t>Yes</t>
        </is>
      </c>
    </row>
    <row r="123">
      <c r="A123" s="4" t="n">
        <v>1285284497</v>
      </c>
      <c r="B123" s="4" t="inlineStr">
        <is>
          <t>Farrah Abu-Hijleh</t>
        </is>
      </c>
      <c r="C123" s="4" t="inlineStr">
        <is>
          <t>Case Manager/Care Coordinator</t>
        </is>
      </c>
      <c r="D123" s="4" t="inlineStr">
        <is>
          <t>16406 Bristol Lake Cir</t>
        </is>
      </c>
      <c r="E123" s="4" t="inlineStr">
        <is>
          <t>Orlando</t>
        </is>
      </c>
      <c r="F123" s="4" t="inlineStr">
        <is>
          <t>FL</t>
        </is>
      </c>
      <c r="G123" s="4" t="inlineStr">
        <is>
          <t>32828</t>
        </is>
      </c>
      <c r="H123" s="4" t="inlineStr">
        <is>
          <t>904-477-4402</t>
        </is>
      </c>
      <c r="I123" s="4" t="inlineStr">
        <is>
          <t>Out-of-Network</t>
        </is>
      </c>
      <c r="J123" s="4" t="inlineStr">
        <is>
          <t>No</t>
        </is>
      </c>
    </row>
    <row r="124">
      <c r="A124" s="4" t="n">
        <v>1376886614</v>
      </c>
      <c r="B124" s="4" t="inlineStr">
        <is>
          <t>Tolulope Abikoye, MD MPH</t>
        </is>
      </c>
      <c r="C124" s="4" t="inlineStr">
        <is>
          <t>Pediatrics, Pediatric Emergency Medicine</t>
        </is>
      </c>
      <c r="D124" s="4" t="inlineStr">
        <is>
          <t>904 Lee Rd Ste 200</t>
        </is>
      </c>
      <c r="E124" s="4" t="inlineStr">
        <is>
          <t>Orlando</t>
        </is>
      </c>
      <c r="F124" s="4" t="inlineStr">
        <is>
          <t>FL</t>
        </is>
      </c>
      <c r="G124" s="4" t="inlineStr">
        <is>
          <t>32810</t>
        </is>
      </c>
      <c r="H124" s="4" t="inlineStr">
        <is>
          <t>407-732-7373</t>
        </is>
      </c>
      <c r="I124" s="4" t="inlineStr">
        <is>
          <t>In-Network</t>
        </is>
      </c>
      <c r="J124" s="4" t="inlineStr">
        <is>
          <t>Yes</t>
        </is>
      </c>
    </row>
    <row r="125">
      <c r="A125" s="4" t="n">
        <v>1215449111</v>
      </c>
      <c r="B125" s="4" t="inlineStr">
        <is>
          <t>Noha Abaza, Pharm.D</t>
        </is>
      </c>
      <c r="C125" s="4" t="inlineStr">
        <is>
          <t>Pharmacist</t>
        </is>
      </c>
      <c r="D125" s="4" t="inlineStr">
        <is>
          <t>92 W Miller St</t>
        </is>
      </c>
      <c r="E125" s="4" t="inlineStr">
        <is>
          <t>Orlando</t>
        </is>
      </c>
      <c r="F125" s="4" t="inlineStr">
        <is>
          <t>FL</t>
        </is>
      </c>
      <c r="G125" s="4" t="inlineStr">
        <is>
          <t>32806</t>
        </is>
      </c>
      <c r="H125" s="4" t="inlineStr">
        <is>
          <t>321-841-1648</t>
        </is>
      </c>
      <c r="I125" s="4" t="inlineStr">
        <is>
          <t>In-Network</t>
        </is>
      </c>
      <c r="J125" s="4" t="inlineStr">
        <is>
          <t>Yes</t>
        </is>
      </c>
    </row>
    <row r="126">
      <c r="A126" s="4" t="n">
        <v>1083292452</v>
      </c>
      <c r="B126" s="4" t="inlineStr">
        <is>
          <t>Fadel Abou Ghaida</t>
        </is>
      </c>
      <c r="C126" s="4" t="inlineStr">
        <is>
          <t>Neurological Surgery</t>
        </is>
      </c>
      <c r="D126" s="4" t="inlineStr">
        <is>
          <t>1055 Crystal Bay Ln</t>
        </is>
      </c>
      <c r="E126" s="4" t="inlineStr">
        <is>
          <t>Orlando</t>
        </is>
      </c>
      <c r="F126" s="4" t="inlineStr">
        <is>
          <t>FL</t>
        </is>
      </c>
      <c r="G126" s="4" t="inlineStr">
        <is>
          <t>32828</t>
        </is>
      </c>
      <c r="H126" s="4" t="inlineStr">
        <is>
          <t>407-690-9512</t>
        </is>
      </c>
      <c r="I126" s="4" t="inlineStr">
        <is>
          <t>Out-of-Network</t>
        </is>
      </c>
      <c r="J126" s="4" t="inlineStr">
        <is>
          <t>Yes</t>
        </is>
      </c>
    </row>
    <row r="127">
      <c r="A127" s="4" t="n">
        <v>1831118413</v>
      </c>
      <c r="B127" s="4" t="inlineStr">
        <is>
          <t>Naomi Abel, MD</t>
        </is>
      </c>
      <c r="C127" s="4" t="inlineStr">
        <is>
          <t>Physical Medicine &amp; Rehabilitation</t>
        </is>
      </c>
      <c r="D127" s="4" t="inlineStr">
        <is>
          <t>12901 Bruce B Downs Blvd</t>
        </is>
      </c>
      <c r="E127" s="4" t="inlineStr">
        <is>
          <t>Tampa</t>
        </is>
      </c>
      <c r="F127" s="4" t="inlineStr">
        <is>
          <t>FL</t>
        </is>
      </c>
      <c r="G127" s="4" t="inlineStr">
        <is>
          <t>33612</t>
        </is>
      </c>
      <c r="H127" s="4" t="inlineStr">
        <is>
          <t>813-259-0944</t>
        </is>
      </c>
      <c r="I127" s="4" t="inlineStr">
        <is>
          <t>In-Network</t>
        </is>
      </c>
      <c r="J127" s="4" t="inlineStr">
        <is>
          <t>No</t>
        </is>
      </c>
    </row>
    <row r="128">
      <c r="A128" s="4" t="n">
        <v>1437511763</v>
      </c>
      <c r="B128" s="4" t="inlineStr">
        <is>
          <t>Erika Abbad</t>
        </is>
      </c>
      <c r="C128" s="4" t="inlineStr">
        <is>
          <t>Psychologist, Rehabilitation</t>
        </is>
      </c>
      <c r="D128" s="4" t="inlineStr">
        <is>
          <t>2547 N Alafaya Trl Apt 92</t>
        </is>
      </c>
      <c r="E128" s="4" t="inlineStr">
        <is>
          <t>Orlando</t>
        </is>
      </c>
      <c r="F128" s="4" t="inlineStr">
        <is>
          <t>FL</t>
        </is>
      </c>
      <c r="G128" s="4" t="inlineStr">
        <is>
          <t>32826</t>
        </is>
      </c>
      <c r="H128" s="4" t="inlineStr">
        <is>
          <t>407-435-2614</t>
        </is>
      </c>
      <c r="I128" s="4" t="inlineStr">
        <is>
          <t>In-Network</t>
        </is>
      </c>
      <c r="J128" s="4" t="inlineStr">
        <is>
          <t>No</t>
        </is>
      </c>
    </row>
    <row r="129">
      <c r="A129" s="4" t="n">
        <v>1679593057</v>
      </c>
      <c r="B129" s="4" t="inlineStr">
        <is>
          <t>Vilmar Abelardo, MD</t>
        </is>
      </c>
      <c r="C129" s="4" t="inlineStr">
        <is>
          <t>Hospitalist</t>
        </is>
      </c>
      <c r="D129" s="4" t="inlineStr">
        <is>
          <t>1414 Kuhl Ave</t>
        </is>
      </c>
      <c r="E129" s="4" t="inlineStr">
        <is>
          <t>Orlando</t>
        </is>
      </c>
      <c r="F129" s="4" t="inlineStr">
        <is>
          <t>FL</t>
        </is>
      </c>
      <c r="G129" s="4" t="inlineStr">
        <is>
          <t>32806</t>
        </is>
      </c>
      <c r="H129" s="4" t="inlineStr">
        <is>
          <t>407-464-9516</t>
        </is>
      </c>
      <c r="I129" s="4" t="inlineStr">
        <is>
          <t>In-Network</t>
        </is>
      </c>
      <c r="J129" s="4" t="inlineStr">
        <is>
          <t>Yes</t>
        </is>
      </c>
    </row>
    <row r="130">
      <c r="A130" s="4" t="n">
        <v>1396157657</v>
      </c>
      <c r="B130" s="4" t="inlineStr">
        <is>
          <t>Almatmed Abdelsalam, M.D.</t>
        </is>
      </c>
      <c r="C130" s="4" t="inlineStr">
        <is>
          <t>Hospitalist</t>
        </is>
      </c>
      <c r="D130" s="4" t="inlineStr">
        <is>
          <t>1350 Hickory St</t>
        </is>
      </c>
      <c r="E130" s="4" t="inlineStr">
        <is>
          <t>Melbourne</t>
        </is>
      </c>
      <c r="F130" s="4" t="inlineStr">
        <is>
          <t>FL</t>
        </is>
      </c>
      <c r="G130" s="4" t="inlineStr">
        <is>
          <t>32901</t>
        </is>
      </c>
      <c r="H130" s="4" t="inlineStr">
        <is>
          <t>321-434-1771</t>
        </is>
      </c>
      <c r="I130" s="4" t="inlineStr">
        <is>
          <t>In-Network</t>
        </is>
      </c>
      <c r="J130" s="4" t="inlineStr">
        <is>
          <t>Yes</t>
        </is>
      </c>
    </row>
    <row r="131">
      <c r="A131" s="4" t="n">
        <v>1255773586</v>
      </c>
      <c r="B131" s="4" t="inlineStr">
        <is>
          <t>Valerie Acosta, Psy.D</t>
        </is>
      </c>
      <c r="C131" s="4" t="inlineStr">
        <is>
          <t>Psychologist, Clinical</t>
        </is>
      </c>
      <c r="D131" s="4" t="inlineStr">
        <is>
          <t>4700 Millenia Blvd Ste 500</t>
        </is>
      </c>
      <c r="E131" s="4" t="inlineStr">
        <is>
          <t>Orlando</t>
        </is>
      </c>
      <c r="F131" s="4" t="inlineStr">
        <is>
          <t>FL</t>
        </is>
      </c>
      <c r="G131" s="4" t="inlineStr">
        <is>
          <t>32839</t>
        </is>
      </c>
      <c r="H131" s="4" t="inlineStr">
        <is>
          <t>813-467-6111</t>
        </is>
      </c>
      <c r="I131" s="4" t="inlineStr">
        <is>
          <t>In-Network</t>
        </is>
      </c>
      <c r="J131" s="4" t="inlineStr">
        <is>
          <t>No</t>
        </is>
      </c>
    </row>
    <row r="132">
      <c r="A132" s="4" t="n">
        <v>1386240471</v>
      </c>
      <c r="B132" s="4" t="inlineStr">
        <is>
          <t>Mohammed Abdulahi, phrmacist</t>
        </is>
      </c>
      <c r="C132" s="4" t="inlineStr">
        <is>
          <t>Pharmacist</t>
        </is>
      </c>
      <c r="D132" s="4" t="inlineStr">
        <is>
          <t>7451 E Colonial Dr</t>
        </is>
      </c>
      <c r="E132" s="4" t="inlineStr">
        <is>
          <t>Orlando</t>
        </is>
      </c>
      <c r="F132" s="4" t="inlineStr">
        <is>
          <t>FL</t>
        </is>
      </c>
      <c r="G132" s="4" t="inlineStr">
        <is>
          <t>32807</t>
        </is>
      </c>
      <c r="H132" s="4" t="inlineStr">
        <is>
          <t>407-281-1876</t>
        </is>
      </c>
      <c r="I132" s="4" t="inlineStr">
        <is>
          <t>In-Network</t>
        </is>
      </c>
      <c r="J132" s="4" t="inlineStr">
        <is>
          <t>Yes</t>
        </is>
      </c>
    </row>
    <row r="133">
      <c r="A133" s="4" t="n">
        <v>1356668628</v>
      </c>
      <c r="B133" s="4" t="inlineStr">
        <is>
          <t>Sheryl Abelmann, DPT</t>
        </is>
      </c>
      <c r="C133" s="4" t="inlineStr">
        <is>
          <t>Physical Therapist</t>
        </is>
      </c>
      <c r="D133" s="4" t="inlineStr">
        <is>
          <t>6000 Turkey Lake Rd Ste 114</t>
        </is>
      </c>
      <c r="E133" s="4" t="inlineStr">
        <is>
          <t>Orlando</t>
        </is>
      </c>
      <c r="F133" s="4" t="inlineStr">
        <is>
          <t>FL</t>
        </is>
      </c>
      <c r="G133" s="4" t="inlineStr">
        <is>
          <t>32819</t>
        </is>
      </c>
      <c r="H133" s="4" t="inlineStr">
        <is>
          <t>321-347-8419</t>
        </is>
      </c>
      <c r="I133" s="4" t="inlineStr">
        <is>
          <t>In-Network</t>
        </is>
      </c>
      <c r="J133" s="4" t="inlineStr">
        <is>
          <t>No</t>
        </is>
      </c>
    </row>
    <row r="134">
      <c r="A134" s="4" t="n">
        <v>1881022531</v>
      </c>
      <c r="B134" s="4" t="inlineStr">
        <is>
          <t>Ingrid Acosta, B.A.</t>
        </is>
      </c>
      <c r="C134" s="4" t="inlineStr">
        <is>
          <t>Specialist/Technologist, Speech-Language Assistant</t>
        </is>
      </c>
      <c r="D134" s="4" t="inlineStr">
        <is>
          <t>1225 Garden Isle Ct Apt A203</t>
        </is>
      </c>
      <c r="E134" s="4" t="inlineStr">
        <is>
          <t>Orlando</t>
        </is>
      </c>
      <c r="F134" s="4" t="inlineStr">
        <is>
          <t>FL</t>
        </is>
      </c>
      <c r="G134" s="4" t="inlineStr">
        <is>
          <t>32824</t>
        </is>
      </c>
      <c r="H134" s="4" t="inlineStr">
        <is>
          <t>407-990-2847</t>
        </is>
      </c>
      <c r="I134" s="4" t="inlineStr">
        <is>
          <t>In-Network</t>
        </is>
      </c>
      <c r="J134" s="4" t="inlineStr">
        <is>
          <t>Yes</t>
        </is>
      </c>
    </row>
    <row r="135">
      <c r="A135" s="4" t="n">
        <v>1356064091</v>
      </c>
      <c r="B135" s="4" t="inlineStr">
        <is>
          <t>Arif Abass, Pharm.D.</t>
        </is>
      </c>
      <c r="C135" s="4" t="inlineStr">
        <is>
          <t>Pharmacist</t>
        </is>
      </c>
      <c r="D135" s="4" t="inlineStr">
        <is>
          <t>13800 Veterans Way</t>
        </is>
      </c>
      <c r="E135" s="4" t="inlineStr">
        <is>
          <t>Orlando</t>
        </is>
      </c>
      <c r="F135" s="4" t="inlineStr">
        <is>
          <t>FL</t>
        </is>
      </c>
      <c r="G135" s="4" t="inlineStr">
        <is>
          <t>32827</t>
        </is>
      </c>
      <c r="H135" s="4" t="inlineStr">
        <is>
          <t>407-631-2869</t>
        </is>
      </c>
      <c r="I135" s="4" t="inlineStr">
        <is>
          <t>In-Network</t>
        </is>
      </c>
      <c r="J135" s="4" t="inlineStr">
        <is>
          <t>Yes</t>
        </is>
      </c>
    </row>
    <row r="136">
      <c r="A136" s="4" t="n">
        <v>1497475891</v>
      </c>
      <c r="B136" s="4" t="inlineStr">
        <is>
          <t>Rana Abbas, RMHCI</t>
        </is>
      </c>
      <c r="C136" s="4" t="inlineStr">
        <is>
          <t>Counselor, Mental Health</t>
        </is>
      </c>
      <c r="D136" s="4" t="inlineStr">
        <is>
          <t>9942 Oak Quarry Dr</t>
        </is>
      </c>
      <c r="E136" s="4" t="inlineStr">
        <is>
          <t>Orlando</t>
        </is>
      </c>
      <c r="F136" s="4" t="inlineStr">
        <is>
          <t>FL</t>
        </is>
      </c>
      <c r="G136" s="4" t="inlineStr">
        <is>
          <t>32832</t>
        </is>
      </c>
      <c r="H136" s="4" t="inlineStr">
        <is>
          <t>407-603-6776</t>
        </is>
      </c>
      <c r="I136" s="4" t="inlineStr">
        <is>
          <t>In-Network</t>
        </is>
      </c>
      <c r="J136" s="4" t="inlineStr">
        <is>
          <t>Yes</t>
        </is>
      </c>
    </row>
    <row r="137">
      <c r="A137" s="4" t="n">
        <v>1902432347</v>
      </c>
      <c r="B137" s="4" t="inlineStr">
        <is>
          <t>Alicia Abel, APRN</t>
        </is>
      </c>
      <c r="C137" s="4" t="inlineStr">
        <is>
          <t>Nurse Practitioner, Family</t>
        </is>
      </c>
      <c r="D137" s="4" t="inlineStr">
        <is>
          <t>8701 Maitland Summit Blvd</t>
        </is>
      </c>
      <c r="E137" s="4" t="inlineStr">
        <is>
          <t>Orlando</t>
        </is>
      </c>
      <c r="F137" s="4" t="inlineStr">
        <is>
          <t>FL</t>
        </is>
      </c>
      <c r="G137" s="4" t="inlineStr">
        <is>
          <t>32810</t>
        </is>
      </c>
      <c r="H137" s="4" t="inlineStr">
        <is>
          <t>407-200-2759</t>
        </is>
      </c>
      <c r="I137" s="4" t="inlineStr">
        <is>
          <t>Out-of-Network</t>
        </is>
      </c>
      <c r="J137" s="4" t="inlineStr">
        <is>
          <t>Yes</t>
        </is>
      </c>
    </row>
    <row r="138">
      <c r="A138" s="4" t="n">
        <v>1376132381</v>
      </c>
      <c r="B138" s="4" t="inlineStr">
        <is>
          <t>Muna Abraha, APRN</t>
        </is>
      </c>
      <c r="C138" s="4" t="inlineStr">
        <is>
          <t>Nurse Practitioner</t>
        </is>
      </c>
      <c r="D138" s="4" t="inlineStr">
        <is>
          <t>2415 N Orange Ave Ste 700</t>
        </is>
      </c>
      <c r="E138" s="4" t="inlineStr">
        <is>
          <t>Orlando</t>
        </is>
      </c>
      <c r="F138" s="4" t="inlineStr">
        <is>
          <t>FL</t>
        </is>
      </c>
      <c r="G138" s="4" t="inlineStr">
        <is>
          <t>32804</t>
        </is>
      </c>
      <c r="H138" s="4" t="inlineStr">
        <is>
          <t>407-303-2474</t>
        </is>
      </c>
      <c r="I138" s="4" t="inlineStr">
        <is>
          <t>In-Network</t>
        </is>
      </c>
      <c r="J138" s="4" t="inlineStr">
        <is>
          <t>Yes</t>
        </is>
      </c>
    </row>
    <row r="139">
      <c r="A139" s="4" t="n">
        <v>1942722046</v>
      </c>
      <c r="B139" s="4" t="inlineStr">
        <is>
          <t>Brittany Abate</t>
        </is>
      </c>
      <c r="C139" s="4" t="inlineStr">
        <is>
          <t>Student in an Organized Health Care Education/Training Program</t>
        </is>
      </c>
      <c r="D139" s="4" t="inlineStr">
        <is>
          <t>12805 Pegasus Dr</t>
        </is>
      </c>
      <c r="E139" s="4" t="inlineStr">
        <is>
          <t>Orlando</t>
        </is>
      </c>
      <c r="F139" s="4" t="inlineStr">
        <is>
          <t>FL</t>
        </is>
      </c>
      <c r="G139" s="4" t="inlineStr">
        <is>
          <t>32816</t>
        </is>
      </c>
      <c r="H139" s="4" t="inlineStr">
        <is>
          <t>407-823-0171</t>
        </is>
      </c>
      <c r="I139" s="4" t="inlineStr">
        <is>
          <t>In-Network</t>
        </is>
      </c>
      <c r="J139" s="4" t="inlineStr">
        <is>
          <t>Yes</t>
        </is>
      </c>
    </row>
    <row r="140">
      <c r="A140" s="4" t="n">
        <v>1043145873</v>
      </c>
      <c r="B140" s="4" t="inlineStr">
        <is>
          <t>Manuela Abadia Cadelo</t>
        </is>
      </c>
      <c r="C140" s="4" t="inlineStr">
        <is>
          <t>Behavior Technician</t>
        </is>
      </c>
      <c r="D140" s="4" t="inlineStr">
        <is>
          <t>2000 N Alafaya Trl</t>
        </is>
      </c>
      <c r="E140" s="4" t="inlineStr">
        <is>
          <t>Orlando</t>
        </is>
      </c>
      <c r="F140" s="4" t="inlineStr">
        <is>
          <t>FL</t>
        </is>
      </c>
      <c r="G140" s="4" t="inlineStr">
        <is>
          <t>32826</t>
        </is>
      </c>
      <c r="H140" s="4" t="inlineStr">
        <is>
          <t>888-518-8560</t>
        </is>
      </c>
      <c r="I140" s="4" t="inlineStr">
        <is>
          <t>In-Network</t>
        </is>
      </c>
      <c r="J140" s="4" t="inlineStr">
        <is>
          <t>Yes</t>
        </is>
      </c>
    </row>
    <row r="141">
      <c r="A141" s="4" t="n">
        <v>1558356402</v>
      </c>
      <c r="B141" s="4" t="inlineStr">
        <is>
          <t>Mutasim Abu-Hasan, MD</t>
        </is>
      </c>
      <c r="C141" s="4" t="inlineStr">
        <is>
          <t>Pediatrics, Pediatric Pulmonology</t>
        </is>
      </c>
      <c r="D141" s="4" t="inlineStr">
        <is>
          <t>1600 Sw Archer Rd</t>
        </is>
      </c>
      <c r="E141" s="4" t="inlineStr">
        <is>
          <t>Gainesville</t>
        </is>
      </c>
      <c r="F141" s="4" t="inlineStr">
        <is>
          <t>FL</t>
        </is>
      </c>
      <c r="G141" s="4" t="inlineStr">
        <is>
          <t>32610</t>
        </is>
      </c>
      <c r="H141" s="4" t="inlineStr">
        <is>
          <t>352-273-8379</t>
        </is>
      </c>
      <c r="I141" s="4" t="inlineStr">
        <is>
          <t>In-Network</t>
        </is>
      </c>
      <c r="J141" s="4" t="inlineStr">
        <is>
          <t>Yes</t>
        </is>
      </c>
    </row>
    <row r="142">
      <c r="A142" s="4" t="n">
        <v>1710132139</v>
      </c>
      <c r="B142" s="4" t="inlineStr">
        <is>
          <t>Ammar Abbasi, MD</t>
        </is>
      </c>
      <c r="C142" s="4" t="inlineStr">
        <is>
          <t>Physical Medicine &amp; Rehabilitation</t>
        </is>
      </c>
      <c r="D142" s="4" t="inlineStr">
        <is>
          <t>8470 Cooper Creek Blvd</t>
        </is>
      </c>
      <c r="E142" s="4" t="inlineStr">
        <is>
          <t>University Park</t>
        </is>
      </c>
      <c r="F142" s="4" t="inlineStr">
        <is>
          <t>FL</t>
        </is>
      </c>
      <c r="G142" s="4" t="inlineStr">
        <is>
          <t>34201</t>
        </is>
      </c>
      <c r="H142" s="4" t="inlineStr">
        <is>
          <t>866-961-1744</t>
        </is>
      </c>
      <c r="I142" s="4" t="inlineStr">
        <is>
          <t>In-Network</t>
        </is>
      </c>
      <c r="J142" s="4" t="inlineStr">
        <is>
          <t>Yes</t>
        </is>
      </c>
    </row>
    <row r="143">
      <c r="A143" s="4" t="n">
        <v>1205266434</v>
      </c>
      <c r="B143" s="4" t="inlineStr">
        <is>
          <t>Julius Abenina</t>
        </is>
      </c>
      <c r="C143" s="4" t="inlineStr">
        <is>
          <t>Physician Assistant</t>
        </is>
      </c>
      <c r="D143" s="4" t="inlineStr">
        <is>
          <t>325 Cypress Pkwy</t>
        </is>
      </c>
      <c r="E143" s="4" t="inlineStr">
        <is>
          <t>Kissimmee</t>
        </is>
      </c>
      <c r="F143" s="4" t="inlineStr">
        <is>
          <t>FL</t>
        </is>
      </c>
      <c r="G143" s="4" t="inlineStr">
        <is>
          <t>34759</t>
        </is>
      </c>
      <c r="H143" s="4" t="inlineStr">
        <is>
          <t>407-530-2000</t>
        </is>
      </c>
      <c r="I143" s="4" t="inlineStr">
        <is>
          <t>In-Network</t>
        </is>
      </c>
      <c r="J143" s="4" t="inlineStr">
        <is>
          <t>No</t>
        </is>
      </c>
    </row>
    <row r="144">
      <c r="A144" s="4" t="n">
        <v>1285443861</v>
      </c>
      <c r="B144" s="4" t="inlineStr">
        <is>
          <t>Luz Acosta, AGACNP-BC</t>
        </is>
      </c>
      <c r="C144" s="4" t="inlineStr">
        <is>
          <t>Nurse Practitioner</t>
        </is>
      </c>
      <c r="D144" s="4" t="inlineStr">
        <is>
          <t>3901 E Colonial Dr Fl 32803</t>
        </is>
      </c>
      <c r="E144" s="4" t="inlineStr">
        <is>
          <t>Orlando</t>
        </is>
      </c>
      <c r="F144" s="4" t="inlineStr">
        <is>
          <t>FL</t>
        </is>
      </c>
      <c r="G144" s="4" t="inlineStr">
        <is>
          <t>32803</t>
        </is>
      </c>
      <c r="H144" s="4" t="inlineStr">
        <is>
          <t>407-652-3015</t>
        </is>
      </c>
      <c r="I144" s="4" t="inlineStr">
        <is>
          <t>In-Network</t>
        </is>
      </c>
      <c r="J144" s="4" t="inlineStr">
        <is>
          <t>Yes</t>
        </is>
      </c>
    </row>
    <row r="145">
      <c r="A145" s="4" t="n">
        <v>1578948261</v>
      </c>
      <c r="B145" s="4" t="inlineStr">
        <is>
          <t>Syed Abid, MD</t>
        </is>
      </c>
      <c r="C145" s="4" t="inlineStr">
        <is>
          <t>Internal Medicine, Hospice and Palliative Medicine</t>
        </is>
      </c>
      <c r="D145" s="4" t="inlineStr">
        <is>
          <t>601 E Rollins St</t>
        </is>
      </c>
      <c r="E145" s="4" t="inlineStr">
        <is>
          <t>Orlando</t>
        </is>
      </c>
      <c r="F145" s="4" t="inlineStr">
        <is>
          <t>FL</t>
        </is>
      </c>
      <c r="G145" s="4" t="inlineStr">
        <is>
          <t>32803</t>
        </is>
      </c>
      <c r="H145" s="4" t="inlineStr">
        <is>
          <t>407-303-2906</t>
        </is>
      </c>
      <c r="I145" s="4" t="inlineStr">
        <is>
          <t>In-Network</t>
        </is>
      </c>
      <c r="J145" s="4" t="inlineStr">
        <is>
          <t>No</t>
        </is>
      </c>
    </row>
    <row r="146">
      <c r="A146" s="4" t="n">
        <v>1639166531</v>
      </c>
      <c r="B146" s="4" t="inlineStr">
        <is>
          <t>Miguel Acevedo Segui, MD</t>
        </is>
      </c>
      <c r="C146" s="4" t="inlineStr">
        <is>
          <t>Emergency Medicine, Emergency Medical Services</t>
        </is>
      </c>
      <c r="D146" s="4" t="inlineStr">
        <is>
          <t>601 E Rollins St</t>
        </is>
      </c>
      <c r="E146" s="4" t="inlineStr">
        <is>
          <t>Orlando</t>
        </is>
      </c>
      <c r="F146" s="4" t="inlineStr">
        <is>
          <t>FL</t>
        </is>
      </c>
      <c r="G146" s="4" t="inlineStr">
        <is>
          <t>32803</t>
        </is>
      </c>
      <c r="H146" s="4" t="inlineStr">
        <is>
          <t>407-303-5600</t>
        </is>
      </c>
      <c r="I146" s="4" t="inlineStr">
        <is>
          <t>Out-of-Network</t>
        </is>
      </c>
      <c r="J146" s="4" t="inlineStr">
        <is>
          <t>Yes</t>
        </is>
      </c>
    </row>
    <row r="147">
      <c r="A147" s="4" t="n">
        <v>1922532738</v>
      </c>
      <c r="B147" s="4" t="inlineStr">
        <is>
          <t>Luis Acosta Gonzalez, APRN</t>
        </is>
      </c>
      <c r="C147" s="4" t="inlineStr">
        <is>
          <t>Nurse Practitioner, Family</t>
        </is>
      </c>
      <c r="D147" s="4" t="inlineStr">
        <is>
          <t>1501 S Semoran Blvd</t>
        </is>
      </c>
      <c r="E147" s="4" t="inlineStr">
        <is>
          <t>Orlando</t>
        </is>
      </c>
      <c r="F147" s="4" t="inlineStr">
        <is>
          <t>FL</t>
        </is>
      </c>
      <c r="G147" s="4" t="inlineStr">
        <is>
          <t>32807</t>
        </is>
      </c>
      <c r="H147" s="4" t="inlineStr">
        <is>
          <t>407-587-2263</t>
        </is>
      </c>
      <c r="I147" s="4" t="inlineStr">
        <is>
          <t>In-Network</t>
        </is>
      </c>
      <c r="J147" s="4" t="inlineStr">
        <is>
          <t>Yes</t>
        </is>
      </c>
    </row>
    <row r="148">
      <c r="A148" s="4" t="n">
        <v>1548428501</v>
      </c>
      <c r="B148" s="4" t="inlineStr">
        <is>
          <t>Veronica Acosta, M.D.</t>
        </is>
      </c>
      <c r="C148" s="4" t="inlineStr">
        <is>
          <t>Internal Medicine</t>
        </is>
      </c>
      <c r="D148" s="4" t="inlineStr">
        <is>
          <t>86 W Underwood St</t>
        </is>
      </c>
      <c r="E148" s="4" t="inlineStr">
        <is>
          <t>Orlando</t>
        </is>
      </c>
      <c r="F148" s="4" t="inlineStr">
        <is>
          <t>FL</t>
        </is>
      </c>
      <c r="G148" s="4" t="inlineStr">
        <is>
          <t>32806</t>
        </is>
      </c>
      <c r="H148" s="4" t="inlineStr">
        <is>
          <t>888-912-3648</t>
        </is>
      </c>
      <c r="I148" s="4" t="inlineStr">
        <is>
          <t>In-Network</t>
        </is>
      </c>
      <c r="J148" s="4" t="inlineStr">
        <is>
          <t>Yes</t>
        </is>
      </c>
    </row>
    <row r="149">
      <c r="A149" s="4" t="n">
        <v>1841247533</v>
      </c>
      <c r="B149" s="4" t="inlineStr">
        <is>
          <t>Nicholas Abrudescu, M.D.</t>
        </is>
      </c>
      <c r="C149" s="4" t="inlineStr">
        <is>
          <t>Obstetrics &amp; Gynecology</t>
        </is>
      </c>
      <c r="D149" s="4" t="inlineStr">
        <is>
          <t>2809 Corrine Drive</t>
        </is>
      </c>
      <c r="E149" s="4" t="inlineStr">
        <is>
          <t>Orlando</t>
        </is>
      </c>
      <c r="F149" s="4" t="inlineStr">
        <is>
          <t>FL</t>
        </is>
      </c>
      <c r="G149" s="4" t="inlineStr">
        <is>
          <t>32803</t>
        </is>
      </c>
      <c r="H149" s="4" t="inlineStr">
        <is>
          <t>407-898-9922</t>
        </is>
      </c>
      <c r="I149" s="4" t="inlineStr">
        <is>
          <t>In-Network</t>
        </is>
      </c>
      <c r="J149" s="4" t="inlineStr">
        <is>
          <t>No</t>
        </is>
      </c>
    </row>
    <row r="150">
      <c r="A150" s="4" t="n">
        <v>1467318568</v>
      </c>
      <c r="B150" s="4" t="inlineStr">
        <is>
          <t>Mohammad Abdullah</t>
        </is>
      </c>
      <c r="C150" s="4" t="inlineStr">
        <is>
          <t>Pharmacist</t>
        </is>
      </c>
      <c r="D150" s="4" t="inlineStr">
        <is>
          <t>4300 Curry Ford Rd</t>
        </is>
      </c>
      <c r="E150" s="4" t="inlineStr">
        <is>
          <t>Orlando</t>
        </is>
      </c>
      <c r="F150" s="4" t="inlineStr">
        <is>
          <t>FL</t>
        </is>
      </c>
      <c r="G150" s="4" t="inlineStr">
        <is>
          <t>32806</t>
        </is>
      </c>
      <c r="H150" s="4" t="inlineStr">
        <is>
          <t>407-281-7499</t>
        </is>
      </c>
      <c r="I150" s="4" t="inlineStr">
        <is>
          <t>Out-of-Network</t>
        </is>
      </c>
      <c r="J150" s="4" t="inlineStr">
        <is>
          <t>No</t>
        </is>
      </c>
    </row>
    <row r="151">
      <c r="A151" s="4" t="n">
        <v>1417249319</v>
      </c>
      <c r="B151" s="4" t="inlineStr">
        <is>
          <t>Chenue Abongwa, M.D</t>
        </is>
      </c>
      <c r="C151" s="4" t="inlineStr">
        <is>
          <t>Pediatrics, Pediatric Hematology-Oncology</t>
        </is>
      </c>
      <c r="D151" s="4" t="inlineStr">
        <is>
          <t>2501 N Orange Ave Ste 589</t>
        </is>
      </c>
      <c r="E151" s="4" t="inlineStr">
        <is>
          <t>Orlando</t>
        </is>
      </c>
      <c r="F151" s="4" t="inlineStr">
        <is>
          <t>FL</t>
        </is>
      </c>
      <c r="G151" s="4" t="inlineStr">
        <is>
          <t>32804</t>
        </is>
      </c>
      <c r="H151" s="4" t="inlineStr">
        <is>
          <t>407-303-2080</t>
        </is>
      </c>
      <c r="I151" s="4" t="inlineStr">
        <is>
          <t>In-Network</t>
        </is>
      </c>
      <c r="J151" s="4" t="inlineStr">
        <is>
          <t>Yes</t>
        </is>
      </c>
    </row>
    <row r="152">
      <c r="A152" s="4" t="n">
        <v>1831540426</v>
      </c>
      <c r="B152" s="4" t="inlineStr">
        <is>
          <t>Israel Acosta Sanchez, M.D.</t>
        </is>
      </c>
      <c r="C152" s="4" t="inlineStr">
        <is>
          <t>Internal Medicine, Pulmonary Disease</t>
        </is>
      </c>
      <c r="D152" s="4" t="inlineStr">
        <is>
          <t>1120 15Th St</t>
        </is>
      </c>
      <c r="E152" s="4" t="inlineStr">
        <is>
          <t>Augusta</t>
        </is>
      </c>
      <c r="F152" s="4" t="inlineStr">
        <is>
          <t>GA</t>
        </is>
      </c>
      <c r="G152" s="4" t="inlineStr">
        <is>
          <t>30912</t>
        </is>
      </c>
      <c r="H152" s="4" t="inlineStr">
        <is>
          <t>706-721-8623</t>
        </is>
      </c>
      <c r="I152" s="4" t="inlineStr">
        <is>
          <t>In-Network</t>
        </is>
      </c>
      <c r="J152" s="4" t="inlineStr">
        <is>
          <t>Yes</t>
        </is>
      </c>
    </row>
    <row r="153">
      <c r="A153" s="4" t="n">
        <v>1619653607</v>
      </c>
      <c r="B153" s="4" t="inlineStr">
        <is>
          <t>Alexis Abernathy</t>
        </is>
      </c>
      <c r="C153" s="4" t="inlineStr">
        <is>
          <t>Optometrist</t>
        </is>
      </c>
      <c r="D153" s="4" t="inlineStr">
        <is>
          <t>7912 Forest City Rd</t>
        </is>
      </c>
      <c r="E153" s="4" t="inlineStr">
        <is>
          <t>Orlando</t>
        </is>
      </c>
      <c r="F153" s="4" t="inlineStr">
        <is>
          <t>FL</t>
        </is>
      </c>
      <c r="G153" s="4" t="inlineStr">
        <is>
          <t>32810</t>
        </is>
      </c>
      <c r="H153" s="4" t="inlineStr">
        <is>
          <t>407-905-8827</t>
        </is>
      </c>
      <c r="I153" s="4" t="inlineStr">
        <is>
          <t>In-Network</t>
        </is>
      </c>
      <c r="J153" s="4" t="inlineStr">
        <is>
          <t>No</t>
        </is>
      </c>
    </row>
    <row r="154">
      <c r="A154" s="4" t="n">
        <v>1184336869</v>
      </c>
      <c r="B154" s="4" t="inlineStr">
        <is>
          <t>Fawaz Abass, APRN, AGNP-C</t>
        </is>
      </c>
      <c r="C154" s="4" t="inlineStr">
        <is>
          <t>Nurse Practitioner</t>
        </is>
      </c>
      <c r="D154" s="4" t="inlineStr">
        <is>
          <t>1613 N Mills Ave</t>
        </is>
      </c>
      <c r="E154" s="4" t="inlineStr">
        <is>
          <t>Orlando</t>
        </is>
      </c>
      <c r="F154" s="4" t="inlineStr">
        <is>
          <t>FL</t>
        </is>
      </c>
      <c r="G154" s="4" t="inlineStr">
        <is>
          <t>32803</t>
        </is>
      </c>
      <c r="H154" s="4" t="inlineStr">
        <is>
          <t>407-894-4474</t>
        </is>
      </c>
      <c r="I154" s="4" t="inlineStr">
        <is>
          <t>Out-of-Network</t>
        </is>
      </c>
      <c r="J154" s="4" t="inlineStr">
        <is>
          <t>Yes</t>
        </is>
      </c>
    </row>
    <row r="155">
      <c r="A155" s="4" t="n">
        <v>1215133012</v>
      </c>
      <c r="B155" s="4" t="inlineStr">
        <is>
          <t>Firas Abdul, MD</t>
        </is>
      </c>
      <c r="C155" s="4" t="inlineStr">
        <is>
          <t>Anesthesiology</t>
        </is>
      </c>
      <c r="D155" s="4" t="inlineStr">
        <is>
          <t>62 Columbia St</t>
        </is>
      </c>
      <c r="E155" s="4" t="inlineStr">
        <is>
          <t>Orlando</t>
        </is>
      </c>
      <c r="F155" s="4" t="inlineStr">
        <is>
          <t>FL</t>
        </is>
      </c>
      <c r="G155" s="4" t="inlineStr">
        <is>
          <t>32806</t>
        </is>
      </c>
      <c r="H155" s="4" t="inlineStr">
        <is>
          <t>321-843-5851</t>
        </is>
      </c>
      <c r="I155" s="4" t="inlineStr">
        <is>
          <t>In-Network</t>
        </is>
      </c>
      <c r="J155" s="4" t="inlineStr">
        <is>
          <t>Yes</t>
        </is>
      </c>
    </row>
    <row r="156">
      <c r="A156" s="4" t="n">
        <v>1104890094</v>
      </c>
      <c r="B156" s="4" t="inlineStr">
        <is>
          <t>John Abu, MD</t>
        </is>
      </c>
      <c r="C156" s="4" t="inlineStr">
        <is>
          <t>Obstetrics &amp; Gynecology</t>
        </is>
      </c>
      <c r="D156" s="4" t="inlineStr">
        <is>
          <t>1700 S Tamiami Trl</t>
        </is>
      </c>
      <c r="E156" s="4" t="inlineStr">
        <is>
          <t>Sarasota</t>
        </is>
      </c>
      <c r="F156" s="4" t="inlineStr">
        <is>
          <t>FL</t>
        </is>
      </c>
      <c r="G156" s="4" t="inlineStr">
        <is>
          <t>34239</t>
        </is>
      </c>
      <c r="H156" s="4" t="inlineStr">
        <is>
          <t>941-917-8560</t>
        </is>
      </c>
      <c r="I156" s="4" t="inlineStr">
        <is>
          <t>In-Network</t>
        </is>
      </c>
      <c r="J156" s="4" t="inlineStr">
        <is>
          <t>Yes</t>
        </is>
      </c>
    </row>
    <row r="157">
      <c r="A157" s="4" t="n">
        <v>1689880114</v>
      </c>
      <c r="B157" s="4" t="inlineStr">
        <is>
          <t>Marwa Abdelbary, DPT</t>
        </is>
      </c>
      <c r="C157" s="4" t="inlineStr">
        <is>
          <t>Physical Therapist</t>
        </is>
      </c>
      <c r="D157" s="4" t="inlineStr">
        <is>
          <t>3903 S Chickasaw Trl</t>
        </is>
      </c>
      <c r="E157" s="4" t="inlineStr">
        <is>
          <t>Orlando</t>
        </is>
      </c>
      <c r="F157" s="4" t="inlineStr">
        <is>
          <t>FL</t>
        </is>
      </c>
      <c r="G157" s="4" t="inlineStr">
        <is>
          <t>32829</t>
        </is>
      </c>
      <c r="H157" s="4" t="inlineStr">
        <is>
          <t>407-859-6374</t>
        </is>
      </c>
      <c r="I157" s="4" t="inlineStr">
        <is>
          <t>In-Network</t>
        </is>
      </c>
      <c r="J157" s="4" t="inlineStr">
        <is>
          <t>Yes</t>
        </is>
      </c>
    </row>
    <row r="158">
      <c r="A158" s="4" t="n">
        <v>1518415082</v>
      </c>
      <c r="B158" s="4" t="inlineStr">
        <is>
          <t>Miguelina Abreu</t>
        </is>
      </c>
      <c r="C158" s="4" t="inlineStr">
        <is>
          <t>Case Manager/Care Coordinator</t>
        </is>
      </c>
      <c r="D158" s="4" t="inlineStr">
        <is>
          <t>1800 Mercy Dr</t>
        </is>
      </c>
      <c r="E158" s="4" t="inlineStr">
        <is>
          <t>Orlando</t>
        </is>
      </c>
      <c r="F158" s="4" t="inlineStr">
        <is>
          <t>FL</t>
        </is>
      </c>
      <c r="G158" s="4" t="inlineStr">
        <is>
          <t>32808</t>
        </is>
      </c>
      <c r="H158" s="4" t="inlineStr">
        <is>
          <t>407-875-3700</t>
        </is>
      </c>
      <c r="I158" s="4" t="inlineStr">
        <is>
          <t>In-Network</t>
        </is>
      </c>
      <c r="J158" s="4" t="inlineStr">
        <is>
          <t>Yes</t>
        </is>
      </c>
    </row>
    <row r="159">
      <c r="A159" s="4" t="n">
        <v>1629040811</v>
      </c>
      <c r="B159" s="4" t="inlineStr">
        <is>
          <t>Patricia Abbitt, MD</t>
        </is>
      </c>
      <c r="C159" s="4" t="inlineStr">
        <is>
          <t>Radiology, Diagnostic Radiology</t>
        </is>
      </c>
      <c r="D159" s="4" t="inlineStr">
        <is>
          <t>1800 Sw Archer Rd</t>
        </is>
      </c>
      <c r="E159" s="4" t="inlineStr">
        <is>
          <t>Gainesville</t>
        </is>
      </c>
      <c r="F159" s="4" t="inlineStr">
        <is>
          <t>FL</t>
        </is>
      </c>
      <c r="G159" s="4" t="inlineStr">
        <is>
          <t>32610</t>
        </is>
      </c>
      <c r="H159" s="4" t="inlineStr">
        <is>
          <t>352-265-0291</t>
        </is>
      </c>
      <c r="I159" s="4" t="inlineStr">
        <is>
          <t>In-Network</t>
        </is>
      </c>
      <c r="J159" s="4" t="inlineStr">
        <is>
          <t>Yes</t>
        </is>
      </c>
    </row>
    <row r="160">
      <c r="A160" s="4" t="n">
        <v>1447941141</v>
      </c>
      <c r="B160" s="4" t="inlineStr">
        <is>
          <t>William Acobe Vazquez, MD</t>
        </is>
      </c>
      <c r="C160" s="4" t="inlineStr">
        <is>
          <t>General Practice</t>
        </is>
      </c>
      <c r="D160" s="4" t="inlineStr">
        <is>
          <t>33044 Us Hwy 27 N</t>
        </is>
      </c>
      <c r="E160" s="4" t="inlineStr">
        <is>
          <t>Haines City</t>
        </is>
      </c>
      <c r="F160" s="4" t="inlineStr">
        <is>
          <t>FL</t>
        </is>
      </c>
      <c r="G160" s="4" t="inlineStr">
        <is>
          <t>33844</t>
        </is>
      </c>
      <c r="H160" s="4" t="inlineStr">
        <is>
          <t>863-422-4977</t>
        </is>
      </c>
      <c r="I160" s="4" t="inlineStr">
        <is>
          <t>In-Network</t>
        </is>
      </c>
      <c r="J160" s="4" t="inlineStr">
        <is>
          <t>No</t>
        </is>
      </c>
    </row>
    <row r="161">
      <c r="A161" s="4" t="n">
        <v>1477070191</v>
      </c>
      <c r="B161" s="4" t="inlineStr">
        <is>
          <t>Marcus Acevedo, DC</t>
        </is>
      </c>
      <c r="C161" s="4" t="inlineStr">
        <is>
          <t>Chiropractor</t>
        </is>
      </c>
      <c r="D161" s="4" t="inlineStr">
        <is>
          <t>779 N Alafaya Trl</t>
        </is>
      </c>
      <c r="E161" s="4" t="inlineStr">
        <is>
          <t>Orlando</t>
        </is>
      </c>
      <c r="F161" s="4" t="inlineStr">
        <is>
          <t>FL</t>
        </is>
      </c>
      <c r="G161" s="4" t="inlineStr">
        <is>
          <t>32828</t>
        </is>
      </c>
      <c r="H161" s="4" t="inlineStr">
        <is>
          <t>407-900-2221</t>
        </is>
      </c>
      <c r="I161" s="4" t="inlineStr">
        <is>
          <t>In-Network</t>
        </is>
      </c>
      <c r="J161" s="4" t="inlineStr">
        <is>
          <t>Yes</t>
        </is>
      </c>
    </row>
    <row r="162">
      <c r="A162" s="4" t="n">
        <v>1962729459</v>
      </c>
      <c r="B162" s="4" t="inlineStr">
        <is>
          <t>Sixto Acevedo</t>
        </is>
      </c>
      <c r="C162" s="4" t="inlineStr">
        <is>
          <t>Counselor</t>
        </is>
      </c>
      <c r="D162" s="4" t="inlineStr">
        <is>
          <t>1800 Mercy Dr</t>
        </is>
      </c>
      <c r="E162" s="4" t="inlineStr">
        <is>
          <t>Orlando</t>
        </is>
      </c>
      <c r="F162" s="4" t="inlineStr">
        <is>
          <t>FL</t>
        </is>
      </c>
      <c r="G162" s="4" t="inlineStr">
        <is>
          <t>32808</t>
        </is>
      </c>
      <c r="H162" s="4" t="inlineStr">
        <is>
          <t>407-875-3700</t>
        </is>
      </c>
      <c r="I162" s="4" t="inlineStr">
        <is>
          <t>In-Network</t>
        </is>
      </c>
      <c r="J162" s="4" t="inlineStr">
        <is>
          <t>Yes</t>
        </is>
      </c>
    </row>
    <row r="163">
      <c r="A163" s="4" t="n">
        <v>1083187512</v>
      </c>
      <c r="B163" s="4" t="inlineStr">
        <is>
          <t>Lindsey Abramo</t>
        </is>
      </c>
      <c r="C163" s="4" t="inlineStr">
        <is>
          <t xml:space="preserve">Speech-Language Pathologist,  </t>
        </is>
      </c>
      <c r="D163" s="4" t="inlineStr">
        <is>
          <t>3452 Lake Lynda Dr Ste 200</t>
        </is>
      </c>
      <c r="E163" s="4" t="inlineStr">
        <is>
          <t>Orlando</t>
        </is>
      </c>
      <c r="F163" s="4" t="inlineStr">
        <is>
          <t>FL</t>
        </is>
      </c>
      <c r="G163" s="4" t="inlineStr">
        <is>
          <t>32817</t>
        </is>
      </c>
      <c r="H163" s="4" t="inlineStr">
        <is>
          <t>407-308-3906</t>
        </is>
      </c>
      <c r="I163" s="4" t="inlineStr">
        <is>
          <t>Out-of-Network</t>
        </is>
      </c>
      <c r="J163" s="4" t="inlineStr">
        <is>
          <t>No</t>
        </is>
      </c>
    </row>
    <row r="164">
      <c r="A164" s="4" t="n">
        <v>1902184138</v>
      </c>
      <c r="B164" s="4" t="inlineStr">
        <is>
          <t>Mona Abankwa, APN</t>
        </is>
      </c>
      <c r="C164" s="4" t="inlineStr">
        <is>
          <t>Nurse Practitioner, Family</t>
        </is>
      </c>
      <c r="D164" s="4" t="inlineStr">
        <is>
          <t>111 N Orange Ave Ste 800</t>
        </is>
      </c>
      <c r="E164" s="4" t="inlineStr">
        <is>
          <t>Orlando</t>
        </is>
      </c>
      <c r="F164" s="4" t="inlineStr">
        <is>
          <t>FL</t>
        </is>
      </c>
      <c r="G164" s="4" t="inlineStr">
        <is>
          <t>32801</t>
        </is>
      </c>
      <c r="H164" s="4" t="inlineStr">
        <is>
          <t>888-731-3705</t>
        </is>
      </c>
      <c r="I164" s="4" t="inlineStr">
        <is>
          <t>In-Network</t>
        </is>
      </c>
      <c r="J164" s="4" t="inlineStr">
        <is>
          <t>Yes</t>
        </is>
      </c>
    </row>
    <row r="165">
      <c r="A165" s="4" t="n">
        <v>1184647778</v>
      </c>
      <c r="B165" s="4" t="inlineStr">
        <is>
          <t>Betzy Acevedo, DRA.</t>
        </is>
      </c>
      <c r="C165" s="4" t="inlineStr">
        <is>
          <t>General Practice</t>
        </is>
      </c>
      <c r="D165" s="4" t="inlineStr">
        <is>
          <t>1044 Plaza Dr</t>
        </is>
      </c>
      <c r="E165" s="4" t="inlineStr">
        <is>
          <t>Kissimmee</t>
        </is>
      </c>
      <c r="F165" s="4" t="inlineStr">
        <is>
          <t>FL</t>
        </is>
      </c>
      <c r="G165" s="4" t="inlineStr">
        <is>
          <t>34743</t>
        </is>
      </c>
      <c r="H165" s="4" t="inlineStr">
        <is>
          <t>407-933-7900</t>
        </is>
      </c>
      <c r="I165" s="4" t="inlineStr">
        <is>
          <t>In-Network</t>
        </is>
      </c>
      <c r="J165" s="4" t="inlineStr">
        <is>
          <t>No</t>
        </is>
      </c>
    </row>
    <row r="166">
      <c r="A166" s="4" t="n">
        <v>1023489309</v>
      </c>
      <c r="B166" s="4" t="inlineStr">
        <is>
          <t>Aji Achuthan, ARNP</t>
        </is>
      </c>
      <c r="C166" s="4" t="inlineStr">
        <is>
          <t>Nurse Practitioner, Family</t>
        </is>
      </c>
      <c r="D166" s="4" t="inlineStr">
        <is>
          <t>1741 David Walker Dr</t>
        </is>
      </c>
      <c r="E166" s="4" t="inlineStr">
        <is>
          <t>Tavares</t>
        </is>
      </c>
      <c r="F166" s="4" t="inlineStr">
        <is>
          <t>FL</t>
        </is>
      </c>
      <c r="G166" s="4" t="inlineStr">
        <is>
          <t>32778</t>
        </is>
      </c>
      <c r="H166" s="4" t="inlineStr">
        <is>
          <t>352-742-3578</t>
        </is>
      </c>
      <c r="I166" s="4" t="inlineStr">
        <is>
          <t>In-Network</t>
        </is>
      </c>
      <c r="J166" s="4" t="inlineStr">
        <is>
          <t>No</t>
        </is>
      </c>
    </row>
    <row r="167">
      <c r="A167" s="4" t="n">
        <v>1316169063</v>
      </c>
      <c r="B167" s="4" t="inlineStr">
        <is>
          <t>M. Abdel-Hameed, M.D</t>
        </is>
      </c>
      <c r="C167" s="4" t="inlineStr">
        <is>
          <t>Obstetrics &amp; Gynecology</t>
        </is>
      </c>
      <c r="D167" s="4" t="inlineStr">
        <is>
          <t>10086 Brandon Cir</t>
        </is>
      </c>
      <c r="E167" s="4" t="inlineStr">
        <is>
          <t>Orlando</t>
        </is>
      </c>
      <c r="F167" s="4" t="inlineStr">
        <is>
          <t>FL</t>
        </is>
      </c>
      <c r="G167" s="4" t="inlineStr">
        <is>
          <t>32836</t>
        </is>
      </c>
      <c r="H167" s="4" t="inlineStr">
        <is>
          <t>407-343-8002</t>
        </is>
      </c>
      <c r="I167" s="4" t="inlineStr">
        <is>
          <t>In-Network</t>
        </is>
      </c>
      <c r="J167" s="4" t="inlineStr">
        <is>
          <t>No</t>
        </is>
      </c>
    </row>
    <row r="168">
      <c r="A168" s="4" t="n">
        <v>1073077467</v>
      </c>
      <c r="B168" s="4" t="inlineStr">
        <is>
          <t>Leah Adam, RN</t>
        </is>
      </c>
      <c r="C168" s="4" t="inlineStr">
        <is>
          <t>Registered Nurse</t>
        </is>
      </c>
      <c r="D168" s="4" t="inlineStr">
        <is>
          <t>University Drive</t>
        </is>
      </c>
      <c r="E168" s="4" t="inlineStr">
        <is>
          <t>Pittsburgh</t>
        </is>
      </c>
      <c r="F168" s="4" t="inlineStr">
        <is>
          <t>PA</t>
        </is>
      </c>
      <c r="G168" s="4" t="inlineStr">
        <is>
          <t>15240</t>
        </is>
      </c>
      <c r="H168" s="4" t="inlineStr">
        <is>
          <t>412-822-2222</t>
        </is>
      </c>
      <c r="I168" s="4" t="inlineStr">
        <is>
          <t>In-Network</t>
        </is>
      </c>
      <c r="J168" s="4" t="inlineStr">
        <is>
          <t>Yes</t>
        </is>
      </c>
    </row>
    <row r="169">
      <c r="A169" s="4" t="n">
        <v>1568463347</v>
      </c>
      <c r="B169" s="4" t="inlineStr">
        <is>
          <t>Moufid-John Abdo, MD</t>
        </is>
      </c>
      <c r="C169" s="4" t="inlineStr">
        <is>
          <t>Otolaryngology</t>
        </is>
      </c>
      <c r="D169" s="4" t="inlineStr">
        <is>
          <t>1901 Floyd St</t>
        </is>
      </c>
      <c r="E169" s="4" t="inlineStr">
        <is>
          <t>Sarasota</t>
        </is>
      </c>
      <c r="F169" s="4" t="inlineStr">
        <is>
          <t>FL</t>
        </is>
      </c>
      <c r="G169" s="4" t="inlineStr">
        <is>
          <t>34239</t>
        </is>
      </c>
      <c r="H169" s="4" t="inlineStr">
        <is>
          <t>941-366-9222</t>
        </is>
      </c>
      <c r="I169" s="4" t="inlineStr">
        <is>
          <t>In-Network</t>
        </is>
      </c>
      <c r="J169" s="4" t="inlineStr">
        <is>
          <t>Yes</t>
        </is>
      </c>
    </row>
    <row r="170">
      <c r="A170" s="4" t="n">
        <v>1992319602</v>
      </c>
      <c r="B170" s="4" t="inlineStr">
        <is>
          <t>Alejandra Abreu, MA</t>
        </is>
      </c>
      <c r="C170" s="4" t="inlineStr">
        <is>
          <t xml:space="preserve">Speech-Language Pathologist,  </t>
        </is>
      </c>
      <c r="D170" s="4" t="inlineStr">
        <is>
          <t>4780 Data Ct</t>
        </is>
      </c>
      <c r="E170" s="4" t="inlineStr">
        <is>
          <t>Orlando</t>
        </is>
      </c>
      <c r="F170" s="4" t="inlineStr">
        <is>
          <t>FL</t>
        </is>
      </c>
      <c r="G170" s="4" t="inlineStr">
        <is>
          <t>32817</t>
        </is>
      </c>
      <c r="H170" s="4" t="inlineStr">
        <is>
          <t>407-852-3300</t>
        </is>
      </c>
      <c r="I170" s="4" t="inlineStr">
        <is>
          <t>In-Network</t>
        </is>
      </c>
      <c r="J170" s="4" t="inlineStr">
        <is>
          <t>Yes</t>
        </is>
      </c>
    </row>
    <row r="171">
      <c r="A171" s="4" t="n">
        <v>1700511698</v>
      </c>
      <c r="B171" s="4" t="inlineStr">
        <is>
          <t>Somia Abou-Osman</t>
        </is>
      </c>
      <c r="C171" s="4" t="inlineStr">
        <is>
          <t>Nurse Practitioner, Family</t>
        </is>
      </c>
      <c r="D171" s="4" t="inlineStr">
        <is>
          <t>4853 Darbyshire Ct</t>
        </is>
      </c>
      <c r="E171" s="4" t="inlineStr">
        <is>
          <t>Canfield</t>
        </is>
      </c>
      <c r="F171" s="4" t="inlineStr">
        <is>
          <t>OH</t>
        </is>
      </c>
      <c r="G171" s="4" t="inlineStr">
        <is>
          <t>44406</t>
        </is>
      </c>
      <c r="H171" s="4" t="inlineStr">
        <is>
          <t>330-509-0323</t>
        </is>
      </c>
      <c r="I171" s="4" t="inlineStr">
        <is>
          <t>In-Network</t>
        </is>
      </c>
      <c r="J171" s="4" t="inlineStr">
        <is>
          <t>No</t>
        </is>
      </c>
    </row>
    <row r="172">
      <c r="A172" s="4" t="n">
        <v>1538964804</v>
      </c>
      <c r="B172" s="4" t="inlineStr">
        <is>
          <t>Michael Acosta, PT</t>
        </is>
      </c>
      <c r="C172" s="4" t="inlineStr">
        <is>
          <t>Physical Therapist, Orthopedic</t>
        </is>
      </c>
      <c r="D172" s="4" t="inlineStr">
        <is>
          <t>60 Columbia St</t>
        </is>
      </c>
      <c r="E172" s="4" t="inlineStr">
        <is>
          <t>Orlando</t>
        </is>
      </c>
      <c r="F172" s="4" t="inlineStr">
        <is>
          <t>FL</t>
        </is>
      </c>
      <c r="G172" s="4" t="inlineStr">
        <is>
          <t>32806</t>
        </is>
      </c>
      <c r="H172" s="4" t="inlineStr">
        <is>
          <t>407-515-2420</t>
        </is>
      </c>
      <c r="I172" s="4" t="inlineStr">
        <is>
          <t>In-Network</t>
        </is>
      </c>
      <c r="J172" s="4" t="inlineStr">
        <is>
          <t>Yes</t>
        </is>
      </c>
    </row>
    <row r="173">
      <c r="A173" s="4" t="n">
        <v>1609109644</v>
      </c>
      <c r="B173" s="4" t="inlineStr">
        <is>
          <t>Kasey Abanonu, MD</t>
        </is>
      </c>
      <c r="C173" s="4" t="inlineStr">
        <is>
          <t>Internal Medicine</t>
        </is>
      </c>
      <c r="D173" s="4" t="inlineStr">
        <is>
          <t>4919 W Craig Rd</t>
        </is>
      </c>
      <c r="E173" s="4" t="inlineStr">
        <is>
          <t>Las Vegas</t>
        </is>
      </c>
      <c r="F173" s="4" t="inlineStr">
        <is>
          <t>NV</t>
        </is>
      </c>
      <c r="G173" s="4" t="inlineStr">
        <is>
          <t>89130</t>
        </is>
      </c>
      <c r="H173" s="4" t="inlineStr">
        <is>
          <t>725-220-8706</t>
        </is>
      </c>
      <c r="I173" s="4" t="inlineStr">
        <is>
          <t>In-Network</t>
        </is>
      </c>
      <c r="J173" s="4" t="inlineStr">
        <is>
          <t>Yes</t>
        </is>
      </c>
    </row>
    <row r="174">
      <c r="A174" s="4" t="n">
        <v>1932423555</v>
      </c>
      <c r="B174" s="4" t="inlineStr">
        <is>
          <t>Joyce Acosta, D.C.</t>
        </is>
      </c>
      <c r="C174" s="4" t="inlineStr">
        <is>
          <t>Chiropractor</t>
        </is>
      </c>
      <c r="D174" s="4" t="inlineStr">
        <is>
          <t>6030 Hollywood Blvd</t>
        </is>
      </c>
      <c r="E174" s="4" t="inlineStr">
        <is>
          <t>Hollywood</t>
        </is>
      </c>
      <c r="F174" s="4" t="inlineStr">
        <is>
          <t>FL</t>
        </is>
      </c>
      <c r="G174" s="4" t="inlineStr">
        <is>
          <t>33024</t>
        </is>
      </c>
      <c r="H174" s="4" t="inlineStr">
        <is>
          <t>954-962-9525</t>
        </is>
      </c>
      <c r="I174" s="4" t="inlineStr">
        <is>
          <t>Out-of-Network</t>
        </is>
      </c>
      <c r="J174" s="4" t="inlineStr">
        <is>
          <t>Yes</t>
        </is>
      </c>
    </row>
    <row r="175">
      <c r="A175" s="4" t="n">
        <v>1811793037</v>
      </c>
      <c r="B175" s="4" t="inlineStr">
        <is>
          <t>Aryham Abreu Sanchez</t>
        </is>
      </c>
      <c r="C175" s="4" t="inlineStr">
        <is>
          <t>Behavior Technician</t>
        </is>
      </c>
      <c r="D175" s="4" t="inlineStr">
        <is>
          <t>9703 Avellido Ave</t>
        </is>
      </c>
      <c r="E175" s="4" t="inlineStr">
        <is>
          <t>Orlando</t>
        </is>
      </c>
      <c r="F175" s="4" t="inlineStr">
        <is>
          <t>FL</t>
        </is>
      </c>
      <c r="G175" s="4" t="inlineStr">
        <is>
          <t>32819</t>
        </is>
      </c>
      <c r="H175" s="4" t="inlineStr">
        <is>
          <t>407-437-2534</t>
        </is>
      </c>
      <c r="I175" s="4" t="inlineStr">
        <is>
          <t>In-Network</t>
        </is>
      </c>
      <c r="J175" s="4" t="inlineStr">
        <is>
          <t>Yes</t>
        </is>
      </c>
    </row>
    <row r="176">
      <c r="A176" s="4" t="n">
        <v>1174766570</v>
      </c>
      <c r="B176" s="4" t="inlineStr">
        <is>
          <t>Tania Abi Antoun, M.D.</t>
        </is>
      </c>
      <c r="C176" s="4" t="inlineStr">
        <is>
          <t>Internal Medicine, Nephrology</t>
        </is>
      </c>
      <c r="D176" s="4" t="inlineStr">
        <is>
          <t>3885 Oakwater Cir</t>
        </is>
      </c>
      <c r="E176" s="4" t="inlineStr">
        <is>
          <t>Orlando</t>
        </is>
      </c>
      <c r="F176" s="4" t="inlineStr">
        <is>
          <t>FL</t>
        </is>
      </c>
      <c r="G176" s="4" t="inlineStr">
        <is>
          <t>32806</t>
        </is>
      </c>
      <c r="H176" s="4" t="inlineStr">
        <is>
          <t>407-816-5700</t>
        </is>
      </c>
      <c r="I176" s="4" t="inlineStr">
        <is>
          <t>In-Network</t>
        </is>
      </c>
      <c r="J176" s="4" t="inlineStr">
        <is>
          <t>Yes</t>
        </is>
      </c>
    </row>
    <row r="177">
      <c r="A177" s="4" t="n">
        <v>1124744305</v>
      </c>
      <c r="B177" s="4" t="inlineStr">
        <is>
          <t>Karol Acosta, OTR/L</t>
        </is>
      </c>
      <c r="C177" s="4" t="inlineStr">
        <is>
          <t>Occupational Therapist, Physical Rehabilitation</t>
        </is>
      </c>
      <c r="D177" s="4" t="inlineStr">
        <is>
          <t>558 N Semoran Blvd</t>
        </is>
      </c>
      <c r="E177" s="4" t="inlineStr">
        <is>
          <t>Winter Park</t>
        </is>
      </c>
      <c r="F177" s="4" t="inlineStr">
        <is>
          <t>FL</t>
        </is>
      </c>
      <c r="G177" s="4" t="inlineStr">
        <is>
          <t>32792</t>
        </is>
      </c>
      <c r="H177" s="4" t="inlineStr">
        <is>
          <t>407-679-1515</t>
        </is>
      </c>
      <c r="I177" s="4" t="inlineStr">
        <is>
          <t>Out-of-Network</t>
        </is>
      </c>
      <c r="J177" s="4" t="inlineStr">
        <is>
          <t>Yes</t>
        </is>
      </c>
    </row>
    <row r="178">
      <c r="A178" s="4" t="n">
        <v>1023705084</v>
      </c>
      <c r="B178" s="4" t="inlineStr">
        <is>
          <t>Alonso Abugattas, DO</t>
        </is>
      </c>
      <c r="C178" s="4" t="inlineStr">
        <is>
          <t>Pediatrics</t>
        </is>
      </c>
      <c r="D178" s="4" t="inlineStr">
        <is>
          <t>601 E Rollins St Ste 400</t>
        </is>
      </c>
      <c r="E178" s="4" t="inlineStr">
        <is>
          <t>Orlando</t>
        </is>
      </c>
      <c r="F178" s="4" t="inlineStr">
        <is>
          <t>FL</t>
        </is>
      </c>
      <c r="G178" s="4" t="inlineStr">
        <is>
          <t>32803</t>
        </is>
      </c>
      <c r="H178" s="4" t="inlineStr">
        <is>
          <t>407-303-5600</t>
        </is>
      </c>
      <c r="I178" s="4" t="inlineStr">
        <is>
          <t>In-Network</t>
        </is>
      </c>
      <c r="J178" s="4" t="inlineStr">
        <is>
          <t>Yes</t>
        </is>
      </c>
    </row>
    <row r="179">
      <c r="A179" s="4" t="n">
        <v>1023429255</v>
      </c>
      <c r="B179" s="4" t="inlineStr">
        <is>
          <t>Ajmal Abed, DMD</t>
        </is>
      </c>
      <c r="C179" s="4" t="inlineStr">
        <is>
          <t>Dentist</t>
        </is>
      </c>
      <c r="D179" s="4" t="inlineStr">
        <is>
          <t>13132 Paloma Dr</t>
        </is>
      </c>
      <c r="E179" s="4" t="inlineStr">
        <is>
          <t>Orlando</t>
        </is>
      </c>
      <c r="F179" s="4" t="inlineStr">
        <is>
          <t>FL</t>
        </is>
      </c>
      <c r="G179" s="4" t="inlineStr">
        <is>
          <t>32837</t>
        </is>
      </c>
      <c r="H179" s="4" t="inlineStr">
        <is>
          <t>407-883-9414</t>
        </is>
      </c>
      <c r="I179" s="4" t="inlineStr">
        <is>
          <t>In-Network</t>
        </is>
      </c>
      <c r="J179" s="4" t="inlineStr">
        <is>
          <t>Yes</t>
        </is>
      </c>
    </row>
    <row r="180">
      <c r="A180" s="4" t="n">
        <v>1790623130</v>
      </c>
      <c r="B180" s="4" t="inlineStr">
        <is>
          <t>Camryn Acevedo-Burke</t>
        </is>
      </c>
      <c r="C180" s="4" t="inlineStr">
        <is>
          <t>Technician, Personal Care Attendant</t>
        </is>
      </c>
      <c r="D180" s="4" t="inlineStr">
        <is>
          <t>715 Southern Edge Way</t>
        </is>
      </c>
      <c r="E180" s="4" t="inlineStr">
        <is>
          <t>Sanford</t>
        </is>
      </c>
      <c r="F180" s="4" t="inlineStr">
        <is>
          <t>FL</t>
        </is>
      </c>
      <c r="G180" s="4" t="inlineStr">
        <is>
          <t>32771</t>
        </is>
      </c>
      <c r="H180" s="4" t="inlineStr">
        <is>
          <t>168-977-7967</t>
        </is>
      </c>
      <c r="I180" s="4" t="inlineStr">
        <is>
          <t>In-Network</t>
        </is>
      </c>
      <c r="J180" s="4" t="inlineStr">
        <is>
          <t>No</t>
        </is>
      </c>
    </row>
    <row r="181">
      <c r="A181" s="4" t="n">
        <v>1780331694</v>
      </c>
      <c r="B181" s="4" t="inlineStr">
        <is>
          <t>Johanny Acevedo, LMT</t>
        </is>
      </c>
      <c r="C181" s="4" t="inlineStr">
        <is>
          <t>Massage Therapist</t>
        </is>
      </c>
      <c r="D181" s="4" t="inlineStr">
        <is>
          <t>5034 Downing St</t>
        </is>
      </c>
      <c r="E181" s="4" t="inlineStr">
        <is>
          <t>Orlando</t>
        </is>
      </c>
      <c r="F181" s="4" t="inlineStr">
        <is>
          <t>FL</t>
        </is>
      </c>
      <c r="G181" s="4" t="inlineStr">
        <is>
          <t>32839</t>
        </is>
      </c>
      <c r="H181" s="4" t="inlineStr">
        <is>
          <t>754-260-4337</t>
        </is>
      </c>
      <c r="I181" s="4" t="inlineStr">
        <is>
          <t>In-Network</t>
        </is>
      </c>
      <c r="J181" s="4" t="inlineStr">
        <is>
          <t>Yes</t>
        </is>
      </c>
    </row>
    <row r="182">
      <c r="A182" s="4" t="n">
        <v>1114997699</v>
      </c>
      <c r="B182" s="4" t="inlineStr">
        <is>
          <t>Gilfredy Acevedo, M.D.</t>
        </is>
      </c>
      <c r="C182" s="4" t="inlineStr">
        <is>
          <t>General Practice</t>
        </is>
      </c>
      <c r="D182" s="4" t="inlineStr">
        <is>
          <t>5249 Conway Rd</t>
        </is>
      </c>
      <c r="E182" s="4" t="inlineStr">
        <is>
          <t>Orlando</t>
        </is>
      </c>
      <c r="F182" s="4" t="inlineStr">
        <is>
          <t>FL</t>
        </is>
      </c>
      <c r="G182" s="4" t="inlineStr">
        <is>
          <t>32812</t>
        </is>
      </c>
      <c r="H182" s="4" t="inlineStr">
        <is>
          <t>407-931-0444</t>
        </is>
      </c>
      <c r="I182" s="4" t="inlineStr">
        <is>
          <t>In-Network</t>
        </is>
      </c>
      <c r="J182" s="4" t="inlineStr">
        <is>
          <t>Yes</t>
        </is>
      </c>
    </row>
    <row r="183">
      <c r="A183" s="4" t="n">
        <v>1356756175</v>
      </c>
      <c r="B183" s="4" t="inlineStr">
        <is>
          <t>Erik Adair, D.O.</t>
        </is>
      </c>
      <c r="C183" s="4" t="inlineStr">
        <is>
          <t>Pediatrics, Pediatric Emergency Medicine</t>
        </is>
      </c>
      <c r="D183" s="4" t="inlineStr">
        <is>
          <t>1200 Pleasant St</t>
        </is>
      </c>
      <c r="E183" s="4" t="inlineStr">
        <is>
          <t>Des Moines</t>
        </is>
      </c>
      <c r="F183" s="4" t="inlineStr">
        <is>
          <t>IA</t>
        </is>
      </c>
      <c r="G183" s="4" t="inlineStr">
        <is>
          <t>50309</t>
        </is>
      </c>
      <c r="H183" s="4" t="inlineStr">
        <is>
          <t>515-241-5437</t>
        </is>
      </c>
      <c r="I183" s="4" t="inlineStr">
        <is>
          <t>In-Network</t>
        </is>
      </c>
      <c r="J183" s="4" t="inlineStr">
        <is>
          <t>Yes</t>
        </is>
      </c>
    </row>
    <row r="184">
      <c r="A184" s="4" t="n">
        <v>1326677592</v>
      </c>
      <c r="B184" s="4" t="inlineStr">
        <is>
          <t>William Acuna</t>
        </is>
      </c>
      <c r="C184" s="4" t="inlineStr">
        <is>
          <t>Psychologist, Cognitive &amp; Behavioral</t>
        </is>
      </c>
      <c r="D184" s="4" t="inlineStr">
        <is>
          <t>518 Peachtree Rd</t>
        </is>
      </c>
      <c r="E184" s="4" t="inlineStr">
        <is>
          <t>Orlando</t>
        </is>
      </c>
      <c r="F184" s="4" t="inlineStr">
        <is>
          <t>FL</t>
        </is>
      </c>
      <c r="G184" s="4" t="inlineStr">
        <is>
          <t>32804</t>
        </is>
      </c>
      <c r="H184" s="4" t="inlineStr">
        <is>
          <t>407-730-7983</t>
        </is>
      </c>
      <c r="I184" s="4" t="inlineStr">
        <is>
          <t>In-Network</t>
        </is>
      </c>
      <c r="J184" s="4" t="inlineStr">
        <is>
          <t>Yes</t>
        </is>
      </c>
    </row>
    <row r="185">
      <c r="A185" s="4" t="n">
        <v>1811965338</v>
      </c>
      <c r="B185" s="4" t="inlineStr">
        <is>
          <t>Jennifer Abnet, PA</t>
        </is>
      </c>
      <c r="C185" s="4" t="inlineStr">
        <is>
          <t>Physician Assistant</t>
        </is>
      </c>
      <c r="D185" s="4" t="inlineStr">
        <is>
          <t>1309 N Flagler Dr</t>
        </is>
      </c>
      <c r="E185" s="4" t="inlineStr">
        <is>
          <t>West Palm Beach</t>
        </is>
      </c>
      <c r="F185" s="4" t="inlineStr">
        <is>
          <t>FL</t>
        </is>
      </c>
      <c r="G185" s="4" t="inlineStr">
        <is>
          <t>33401</t>
        </is>
      </c>
      <c r="H185" s="4" t="inlineStr">
        <is>
          <t>561-655-5511</t>
        </is>
      </c>
      <c r="I185" s="4" t="inlineStr">
        <is>
          <t>In-Network</t>
        </is>
      </c>
      <c r="J185" s="4" t="inlineStr">
        <is>
          <t>Yes</t>
        </is>
      </c>
    </row>
    <row r="186">
      <c r="A186" s="4" t="n">
        <v>1194568279</v>
      </c>
      <c r="B186" s="4" t="inlineStr">
        <is>
          <t>Annamma Abraham</t>
        </is>
      </c>
      <c r="C186" s="4" t="inlineStr">
        <is>
          <t>Nurse Practitioner, Psych/Mental Health</t>
        </is>
      </c>
      <c r="D186" s="4" t="inlineStr">
        <is>
          <t>3919 Tampa Rd</t>
        </is>
      </c>
      <c r="E186" s="4" t="inlineStr">
        <is>
          <t>Oldsmar</t>
        </is>
      </c>
      <c r="F186" s="4" t="inlineStr">
        <is>
          <t>FL</t>
        </is>
      </c>
      <c r="G186" s="4" t="inlineStr">
        <is>
          <t>34677</t>
        </is>
      </c>
      <c r="H186" s="4" t="inlineStr">
        <is>
          <t>727-733-6111</t>
        </is>
      </c>
      <c r="I186" s="4" t="inlineStr">
        <is>
          <t>In-Network</t>
        </is>
      </c>
      <c r="J186" s="4" t="inlineStr">
        <is>
          <t>Yes</t>
        </is>
      </c>
    </row>
    <row r="187">
      <c r="A187" s="4" t="n">
        <v>1013447317</v>
      </c>
      <c r="B187" s="4" t="inlineStr">
        <is>
          <t>Danielle Aaron, CRNP</t>
        </is>
      </c>
      <c r="C187" s="4" t="inlineStr">
        <is>
          <t>Nurse Practitioner, Women's Health</t>
        </is>
      </c>
      <c r="D187" s="4" t="inlineStr">
        <is>
          <t>139 Centre St Ph 120</t>
        </is>
      </c>
      <c r="E187" s="4" t="inlineStr">
        <is>
          <t>New York</t>
        </is>
      </c>
      <c r="F187" s="4" t="inlineStr">
        <is>
          <t>NY</t>
        </is>
      </c>
      <c r="G187" s="4" t="inlineStr">
        <is>
          <t>10013</t>
        </is>
      </c>
      <c r="H187" s="4" t="inlineStr">
        <is>
          <t>888-731-8994</t>
        </is>
      </c>
      <c r="I187" s="4" t="inlineStr">
        <is>
          <t>In-Network</t>
        </is>
      </c>
      <c r="J187" s="4" t="inlineStr">
        <is>
          <t>Yes</t>
        </is>
      </c>
    </row>
    <row r="188">
      <c r="A188" s="4" t="n">
        <v>1972006781</v>
      </c>
      <c r="B188" s="4" t="inlineStr">
        <is>
          <t>Mohammad Abualganam, MD</t>
        </is>
      </c>
      <c r="C188" s="4" t="inlineStr">
        <is>
          <t>Internal Medicine</t>
        </is>
      </c>
      <c r="D188" s="4" t="inlineStr">
        <is>
          <t>9400 Turkey Lake Rd</t>
        </is>
      </c>
      <c r="E188" s="4" t="inlineStr">
        <is>
          <t>Orlando</t>
        </is>
      </c>
      <c r="F188" s="4" t="inlineStr">
        <is>
          <t>FL</t>
        </is>
      </c>
      <c r="G188" s="4" t="inlineStr">
        <is>
          <t>32819</t>
        </is>
      </c>
      <c r="H188" s="4" t="inlineStr">
        <is>
          <t>321-842-8505</t>
        </is>
      </c>
      <c r="I188" s="4" t="inlineStr">
        <is>
          <t>In-Network</t>
        </is>
      </c>
      <c r="J188" s="4" t="inlineStr">
        <is>
          <t>Yes</t>
        </is>
      </c>
    </row>
    <row r="189">
      <c r="A189" s="4" t="n">
        <v>1396501748</v>
      </c>
      <c r="B189" s="4" t="inlineStr">
        <is>
          <t>Charissa Abrahams</t>
        </is>
      </c>
      <c r="C189" s="4" t="inlineStr">
        <is>
          <t>Behavior Technician</t>
        </is>
      </c>
      <c r="D189" s="4" t="inlineStr">
        <is>
          <t>3210 Corrine Dr</t>
        </is>
      </c>
      <c r="E189" s="4" t="inlineStr">
        <is>
          <t>Orlando</t>
        </is>
      </c>
      <c r="F189" s="4" t="inlineStr">
        <is>
          <t>FL</t>
        </is>
      </c>
      <c r="G189" s="4" t="inlineStr">
        <is>
          <t>32803</t>
        </is>
      </c>
      <c r="H189" s="4" t="inlineStr">
        <is>
          <t>855-295-3276</t>
        </is>
      </c>
      <c r="I189" s="4" t="inlineStr">
        <is>
          <t>In-Network</t>
        </is>
      </c>
      <c r="J189" s="4" t="inlineStr">
        <is>
          <t>No</t>
        </is>
      </c>
    </row>
    <row r="190">
      <c r="A190" s="4" t="n">
        <v>1588051445</v>
      </c>
      <c r="B190" s="4" t="inlineStr">
        <is>
          <t>Naysha Acevedo</t>
        </is>
      </c>
      <c r="C190" s="4" t="inlineStr">
        <is>
          <t>Counselor, Mental Health</t>
        </is>
      </c>
      <c r="D190" s="4" t="inlineStr">
        <is>
          <t>225 S Swoope Ave</t>
        </is>
      </c>
      <c r="E190" s="4" t="inlineStr">
        <is>
          <t>Maitland</t>
        </is>
      </c>
      <c r="F190" s="4" t="inlineStr">
        <is>
          <t>FL</t>
        </is>
      </c>
      <c r="G190" s="4" t="inlineStr">
        <is>
          <t>32751</t>
        </is>
      </c>
      <c r="H190" s="4" t="inlineStr">
        <is>
          <t>407-699-5155</t>
        </is>
      </c>
      <c r="I190" s="4" t="inlineStr">
        <is>
          <t>In-Network</t>
        </is>
      </c>
      <c r="J190" s="4" t="inlineStr">
        <is>
          <t>Yes</t>
        </is>
      </c>
    </row>
    <row r="191">
      <c r="A191" s="4" t="n">
        <v>1346601572</v>
      </c>
      <c r="B191" s="4" t="inlineStr">
        <is>
          <t>Claudia Abalo</t>
        </is>
      </c>
      <c r="C191" s="4" t="inlineStr">
        <is>
          <t>Counselor, Mental Health</t>
        </is>
      </c>
      <c r="D191" s="4" t="inlineStr">
        <is>
          <t>1800 Mercy Dr</t>
        </is>
      </c>
      <c r="E191" s="4" t="inlineStr">
        <is>
          <t>Orlando</t>
        </is>
      </c>
      <c r="F191" s="4" t="inlineStr">
        <is>
          <t>FL</t>
        </is>
      </c>
      <c r="G191" s="4" t="inlineStr">
        <is>
          <t>32808</t>
        </is>
      </c>
      <c r="H191" s="4" t="inlineStr">
        <is>
          <t>407-875-3700</t>
        </is>
      </c>
      <c r="I191" s="4" t="inlineStr">
        <is>
          <t>In-Network</t>
        </is>
      </c>
      <c r="J191" s="4" t="inlineStr">
        <is>
          <t>Yes</t>
        </is>
      </c>
    </row>
    <row r="192">
      <c r="A192" s="4" t="n">
        <v>1881195089</v>
      </c>
      <c r="B192" s="4" t="inlineStr">
        <is>
          <t>Kimberly Acosta, OTR/L</t>
        </is>
      </c>
      <c r="C192" s="4" t="inlineStr">
        <is>
          <t>Occupational Therapist</t>
        </is>
      </c>
      <c r="D192" s="4" t="inlineStr">
        <is>
          <t>2503 S Mills Ave</t>
        </is>
      </c>
      <c r="E192" s="4" t="inlineStr">
        <is>
          <t>Orlando</t>
        </is>
      </c>
      <c r="F192" s="4" t="inlineStr">
        <is>
          <t>FL</t>
        </is>
      </c>
      <c r="G192" s="4" t="inlineStr">
        <is>
          <t>32806</t>
        </is>
      </c>
      <c r="H192" s="4" t="inlineStr">
        <is>
          <t>305-733-7218</t>
        </is>
      </c>
      <c r="I192" s="4" t="inlineStr">
        <is>
          <t>Out-of-Network</t>
        </is>
      </c>
      <c r="J192" s="4" t="inlineStr">
        <is>
          <t>Yes</t>
        </is>
      </c>
    </row>
    <row r="193">
      <c r="A193" s="4" t="n">
        <v>1437584471</v>
      </c>
      <c r="B193" s="4" t="inlineStr">
        <is>
          <t>Rene Acevedo, Pharm.D.</t>
        </is>
      </c>
      <c r="C193" s="4" t="inlineStr">
        <is>
          <t>Pharmacist</t>
        </is>
      </c>
      <c r="D193" s="4" t="inlineStr">
        <is>
          <t>550 Technology Park</t>
        </is>
      </c>
      <c r="E193" s="4" t="inlineStr">
        <is>
          <t>Lake Mary</t>
        </is>
      </c>
      <c r="F193" s="4" t="inlineStr">
        <is>
          <t>FL</t>
        </is>
      </c>
      <c r="G193" s="4" t="inlineStr">
        <is>
          <t>32746</t>
        </is>
      </c>
      <c r="H193" s="4" t="inlineStr">
        <is>
          <t>888-315-3395</t>
        </is>
      </c>
      <c r="I193" s="4" t="inlineStr">
        <is>
          <t>In-Network</t>
        </is>
      </c>
      <c r="J193" s="4" t="inlineStr">
        <is>
          <t>No</t>
        </is>
      </c>
    </row>
    <row r="194">
      <c r="A194" s="4" t="n">
        <v>1801176854</v>
      </c>
      <c r="B194" s="4" t="inlineStr">
        <is>
          <t>Anthony Abrajano</t>
        </is>
      </c>
      <c r="C194" s="4" t="inlineStr">
        <is>
          <t>Physical Therapist</t>
        </is>
      </c>
      <c r="D194" s="4" t="inlineStr">
        <is>
          <t>11315 Corporate Blvd</t>
        </is>
      </c>
      <c r="E194" s="4" t="inlineStr">
        <is>
          <t>Orlando</t>
        </is>
      </c>
      <c r="F194" s="4" t="inlineStr">
        <is>
          <t>FL</t>
        </is>
      </c>
      <c r="G194" s="4" t="inlineStr">
        <is>
          <t>32817</t>
        </is>
      </c>
      <c r="H194" s="4" t="inlineStr">
        <is>
          <t>800-774-7785</t>
        </is>
      </c>
      <c r="I194" s="4" t="inlineStr">
        <is>
          <t>Out-of-Network</t>
        </is>
      </c>
      <c r="J194" s="4" t="inlineStr">
        <is>
          <t>No</t>
        </is>
      </c>
    </row>
    <row r="195">
      <c r="A195" s="4" t="n">
        <v>1174597025</v>
      </c>
      <c r="B195" s="4" t="inlineStr">
        <is>
          <t>Elpidio Abreu, MD</t>
        </is>
      </c>
      <c r="C195" s="4" t="inlineStr">
        <is>
          <t>Internal Medicine, Nephrology</t>
        </is>
      </c>
      <c r="D195" s="4" t="inlineStr">
        <is>
          <t>1552 Boren Dr</t>
        </is>
      </c>
      <c r="E195" s="4" t="inlineStr">
        <is>
          <t>Ocoee</t>
        </is>
      </c>
      <c r="F195" s="4" t="inlineStr">
        <is>
          <t>FL</t>
        </is>
      </c>
      <c r="G195" s="4" t="inlineStr">
        <is>
          <t>34761</t>
        </is>
      </c>
      <c r="H195" s="4" t="inlineStr">
        <is>
          <t>407-905-8172</t>
        </is>
      </c>
      <c r="I195" s="4" t="inlineStr">
        <is>
          <t>Out-of-Network</t>
        </is>
      </c>
      <c r="J195" s="4" t="inlineStr">
        <is>
          <t>No</t>
        </is>
      </c>
    </row>
    <row r="196">
      <c r="A196" s="4" t="n">
        <v>1861620601</v>
      </c>
      <c r="B196" s="4" t="inlineStr">
        <is>
          <t>Asif Abdullah, M.D.</t>
        </is>
      </c>
      <c r="C196" s="4" t="inlineStr">
        <is>
          <t>Radiology, Diagnostic Radiology</t>
        </is>
      </c>
      <c r="D196" s="4" t="inlineStr">
        <is>
          <t>2502 S Union Ave</t>
        </is>
      </c>
      <c r="E196" s="4" t="inlineStr">
        <is>
          <t>Tacoma</t>
        </is>
      </c>
      <c r="F196" s="4" t="inlineStr">
        <is>
          <t>WA</t>
        </is>
      </c>
      <c r="G196" s="4" t="inlineStr">
        <is>
          <t>98405</t>
        </is>
      </c>
      <c r="H196" s="4" t="inlineStr">
        <is>
          <t>253-841-4653</t>
        </is>
      </c>
      <c r="I196" s="4" t="inlineStr">
        <is>
          <t>In-Network</t>
        </is>
      </c>
      <c r="J196" s="4" t="inlineStr">
        <is>
          <t>Yes</t>
        </is>
      </c>
    </row>
    <row r="197">
      <c r="A197" s="4" t="n">
        <v>1033548383</v>
      </c>
      <c r="B197" s="4" t="inlineStr">
        <is>
          <t>Yasmin Abaza, M.D.</t>
        </is>
      </c>
      <c r="C197" s="4" t="inlineStr">
        <is>
          <t>Internal Medicine, Hematology &amp; Oncology</t>
        </is>
      </c>
      <c r="D197" s="4" t="inlineStr">
        <is>
          <t>675 N Saint Clair St Ste 21-100</t>
        </is>
      </c>
      <c r="E197" s="4" t="inlineStr">
        <is>
          <t>Chicago</t>
        </is>
      </c>
      <c r="F197" s="4" t="inlineStr">
        <is>
          <t>IL</t>
        </is>
      </c>
      <c r="G197" s="4" t="inlineStr">
        <is>
          <t>60611</t>
        </is>
      </c>
      <c r="H197" s="4" t="inlineStr">
        <is>
          <t>312-695-0990</t>
        </is>
      </c>
      <c r="I197" s="4" t="inlineStr">
        <is>
          <t>In-Network</t>
        </is>
      </c>
      <c r="J197" s="4" t="inlineStr">
        <is>
          <t>Yes</t>
        </is>
      </c>
    </row>
    <row r="198">
      <c r="A198" s="4" t="n">
        <v>1528773579</v>
      </c>
      <c r="B198" s="4" t="inlineStr">
        <is>
          <t>Daniela Abreu De Cabo</t>
        </is>
      </c>
      <c r="C198" s="4" t="inlineStr">
        <is>
          <t>Behavior Technician</t>
        </is>
      </c>
      <c r="D198" s="4" t="inlineStr">
        <is>
          <t>7882 Shoals Dr Apt B</t>
        </is>
      </c>
      <c r="E198" s="4" t="inlineStr">
        <is>
          <t>Orlando</t>
        </is>
      </c>
      <c r="F198" s="4" t="inlineStr">
        <is>
          <t>FL</t>
        </is>
      </c>
      <c r="G198" s="4" t="inlineStr">
        <is>
          <t>32817</t>
        </is>
      </c>
      <c r="H198" s="4" t="inlineStr">
        <is>
          <t>941-726-7860</t>
        </is>
      </c>
      <c r="I198" s="4" t="inlineStr">
        <is>
          <t>In-Network</t>
        </is>
      </c>
      <c r="J198" s="4" t="inlineStr">
        <is>
          <t>Yes</t>
        </is>
      </c>
    </row>
    <row r="199">
      <c r="A199" s="4" t="n">
        <v>1114301058</v>
      </c>
      <c r="B199" s="4" t="inlineStr">
        <is>
          <t>Zain Abu Zahra</t>
        </is>
      </c>
      <c r="C199" s="4" t="inlineStr">
        <is>
          <t>Pharmacist</t>
        </is>
      </c>
      <c r="D199" s="4" t="inlineStr">
        <is>
          <t>4720 S Kirkman Rd</t>
        </is>
      </c>
      <c r="E199" s="4" t="inlineStr">
        <is>
          <t>Orlando</t>
        </is>
      </c>
      <c r="F199" s="4" t="inlineStr">
        <is>
          <t>FL</t>
        </is>
      </c>
      <c r="G199" s="4" t="inlineStr">
        <is>
          <t>32811</t>
        </is>
      </c>
      <c r="H199" s="4" t="inlineStr">
        <is>
          <t>407-293-8458</t>
        </is>
      </c>
      <c r="I199" s="4" t="inlineStr">
        <is>
          <t>In-Network</t>
        </is>
      </c>
      <c r="J199" s="4" t="inlineStr">
        <is>
          <t>Yes</t>
        </is>
      </c>
    </row>
    <row r="200">
      <c r="A200" s="4" t="n">
        <v>1356525596</v>
      </c>
      <c r="B200" s="4" t="inlineStr">
        <is>
          <t>Javier Acevedo, M.D.</t>
        </is>
      </c>
      <c r="C200" s="4" t="inlineStr">
        <is>
          <t>Internal Medicine, Clinical Cardiac Electrophysiology</t>
        </is>
      </c>
      <c r="D200" s="4" t="inlineStr">
        <is>
          <t>1222 S Orange Ave</t>
        </is>
      </c>
      <c r="E200" s="4" t="inlineStr">
        <is>
          <t>Orlando</t>
        </is>
      </c>
      <c r="F200" s="4" t="inlineStr">
        <is>
          <t>FL</t>
        </is>
      </c>
      <c r="G200" s="4" t="inlineStr">
        <is>
          <t>32806</t>
        </is>
      </c>
      <c r="H200" s="4" t="inlineStr">
        <is>
          <t>321-841-6444</t>
        </is>
      </c>
      <c r="I200" s="4" t="inlineStr">
        <is>
          <t>In-Network</t>
        </is>
      </c>
      <c r="J200" s="4" t="inlineStr">
        <is>
          <t>Yes</t>
        </is>
      </c>
    </row>
    <row r="201">
      <c r="A201" s="4" t="n">
        <v>1366881161</v>
      </c>
      <c r="B201" s="4" t="inlineStr">
        <is>
          <t>Hanin Abou Ayash, M.D.</t>
        </is>
      </c>
      <c r="C201" s="4" t="inlineStr">
        <is>
          <t>Pediatrics</t>
        </is>
      </c>
      <c r="D201" s="4" t="inlineStr">
        <is>
          <t>930 S Main St</t>
        </is>
      </c>
      <c r="E201" s="4" t="inlineStr">
        <is>
          <t>Labelle</t>
        </is>
      </c>
      <c r="F201" s="4" t="inlineStr">
        <is>
          <t>FL</t>
        </is>
      </c>
      <c r="G201" s="4" t="inlineStr">
        <is>
          <t>33935</t>
        </is>
      </c>
      <c r="H201" s="4" t="inlineStr">
        <is>
          <t>863-675-0160</t>
        </is>
      </c>
      <c r="I201" s="4" t="inlineStr">
        <is>
          <t>In-Network</t>
        </is>
      </c>
      <c r="J201" s="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1" customWidth="1" min="5" max="5"/>
    <col width="28" customWidth="1" min="6" max="6"/>
    <col width="28" customWidth="1" min="7" max="7"/>
    <col width="12" customWidth="1" min="8" max="8"/>
    <col width="34" customWidth="1" min="9" max="9"/>
    <col width="34" customWidth="1" min="10" max="10"/>
    <col width="13" customWidth="1" min="11" max="11"/>
    <col width="14" customWidth="1" min="12" max="12"/>
    <col width="14" customWidth="1" min="13" max="13"/>
    <col width="12" customWidth="1" min="14" max="14"/>
    <col width="13" customWidth="1" min="15" max="15"/>
    <col width="13" customWidth="1" min="16" max="16"/>
    <col width="13" customWidth="1" min="17" max="17"/>
    <col width="12" customWidth="1" min="18" max="18"/>
    <col width="13" customWidth="1" min="19" max="19"/>
  </cols>
  <sheetData>
    <row r="1">
      <c r="A1" s="3" t="inlineStr">
        <is>
          <t>NPI</t>
        </is>
      </c>
      <c r="B1" s="3" t="inlineStr">
        <is>
          <t>Provider Name</t>
        </is>
      </c>
      <c r="C1" s="3" t="inlineStr">
        <is>
          <t>Phone (Source)</t>
        </is>
      </c>
      <c r="D1" s="3" t="inlineStr">
        <is>
          <t>Phone (Directory)</t>
        </is>
      </c>
      <c r="E1" s="3" t="inlineStr">
        <is>
          <t>Phone Check</t>
        </is>
      </c>
      <c r="F1" s="3" t="inlineStr">
        <is>
          <t>Address (Source)</t>
        </is>
      </c>
      <c r="G1" s="3" t="inlineStr">
        <is>
          <t>Address (Directory)</t>
        </is>
      </c>
      <c r="H1" s="3" t="inlineStr">
        <is>
          <t>Address Check</t>
        </is>
      </c>
      <c r="I1" s="3" t="inlineStr">
        <is>
          <t>Specialty (Source)</t>
        </is>
      </c>
      <c r="J1" s="3" t="inlineStr">
        <is>
          <t>Specialty (Directory)</t>
        </is>
      </c>
      <c r="K1" s="3" t="inlineStr">
        <is>
          <t>Specialty Check</t>
        </is>
      </c>
      <c r="L1" s="3" t="inlineStr">
        <is>
          <t>Network (Source)</t>
        </is>
      </c>
      <c r="M1" s="3" t="inlineStr">
        <is>
          <t>Network (Directory)</t>
        </is>
      </c>
      <c r="N1" s="3" t="inlineStr">
        <is>
          <t>Network Check</t>
        </is>
      </c>
      <c r="O1" s="3" t="inlineStr">
        <is>
          <t>Accepting (Source)</t>
        </is>
      </c>
      <c r="P1" s="3" t="inlineStr">
        <is>
          <t>Accepting (Directory)</t>
        </is>
      </c>
      <c r="Q1" s="3" t="inlineStr">
        <is>
          <t>Accepting Check</t>
        </is>
      </c>
      <c r="R1" s="3" t="inlineStr">
        <is>
          <t>Discrepancy Count</t>
        </is>
      </c>
      <c r="S1" s="3" t="inlineStr">
        <is>
          <t>Record Status</t>
        </is>
      </c>
    </row>
    <row r="2">
      <c r="A2" s="4">
        <f>Provider_Source!A2</f>
        <v/>
      </c>
      <c r="B2" s="4">
        <f>Provider_Source!B2</f>
        <v/>
      </c>
      <c r="C2" s="4">
        <f>Provider_Source!H2</f>
        <v/>
      </c>
      <c r="D2" s="4">
        <f>XLOOKUP($A2,Directory_Output!$A$2:$A$201,Directory_Output!$H$2:$H$201,"NOT FOUND")</f>
        <v/>
      </c>
      <c r="E2" s="4">
        <f>IF(C2=D2,"Match","MISMATCH")</f>
        <v/>
      </c>
      <c r="F2" s="4">
        <f>Provider_Source!D2</f>
        <v/>
      </c>
      <c r="G2" s="4">
        <f>XLOOKUP($A2,Directory_Output!$A$2:$A$201,Directory_Output!$D$2:$D$201,"NOT FOUND")</f>
        <v/>
      </c>
      <c r="H2" s="4">
        <f>IF(F2=G2,"Match","MISMATCH")</f>
        <v/>
      </c>
      <c r="I2" s="4">
        <f>Provider_Source!C2</f>
        <v/>
      </c>
      <c r="J2" s="4">
        <f>XLOOKUP($A2,Directory_Output!$A$2:$A$201,Directory_Output!$C$2:$C$201,"NOT FOUND")</f>
        <v/>
      </c>
      <c r="K2" s="4">
        <f>IF(I2=J2,"Match","MISMATCH")</f>
        <v/>
      </c>
      <c r="L2" s="4">
        <f>Provider_Source!I2</f>
        <v/>
      </c>
      <c r="M2" s="4">
        <f>XLOOKUP($A2,Directory_Output!$A$2:$A$201,Directory_Output!$I$2:$I$201,"NOT FOUND")</f>
        <v/>
      </c>
      <c r="N2" s="4">
        <f>IF(L2=M2,"Match","MISMATCH")</f>
        <v/>
      </c>
      <c r="O2" s="4">
        <f>Provider_Source!J2</f>
        <v/>
      </c>
      <c r="P2" s="4">
        <f>XLOOKUP($A2,Directory_Output!$A$2:$A$201,Directory_Output!$J$2:$J$201,"NOT FOUND")</f>
        <v/>
      </c>
      <c r="Q2" s="4">
        <f>IF(O2=P2,"Match","MISMATCH")</f>
        <v/>
      </c>
      <c r="R2" s="4">
        <f>COUNTIF(E2:Q2,"MISMATCH")</f>
        <v/>
      </c>
      <c r="S2" s="4">
        <f>IF(R2=0,"Clean","Needs Review")</f>
        <v/>
      </c>
    </row>
    <row r="3">
      <c r="A3" s="4">
        <f>Provider_Source!A3</f>
        <v/>
      </c>
      <c r="B3" s="4">
        <f>Provider_Source!B3</f>
        <v/>
      </c>
      <c r="C3" s="4">
        <f>Provider_Source!H3</f>
        <v/>
      </c>
      <c r="D3" s="4">
        <f>XLOOKUP($A3,Directory_Output!$A$2:$A$201,Directory_Output!$H$2:$H$201,"NOT FOUND")</f>
        <v/>
      </c>
      <c r="E3" s="4">
        <f>IF(C3=D3,"Match","MISMATCH")</f>
        <v/>
      </c>
      <c r="F3" s="4">
        <f>Provider_Source!D3</f>
        <v/>
      </c>
      <c r="G3" s="4">
        <f>XLOOKUP($A3,Directory_Output!$A$2:$A$201,Directory_Output!$D$2:$D$201,"NOT FOUND")</f>
        <v/>
      </c>
      <c r="H3" s="4">
        <f>IF(F3=G3,"Match","MISMATCH")</f>
        <v/>
      </c>
      <c r="I3" s="4">
        <f>Provider_Source!C3</f>
        <v/>
      </c>
      <c r="J3" s="4">
        <f>XLOOKUP($A3,Directory_Output!$A$2:$A$201,Directory_Output!$C$2:$C$201,"NOT FOUND")</f>
        <v/>
      </c>
      <c r="K3" s="4">
        <f>IF(I3=J3,"Match","MISMATCH")</f>
        <v/>
      </c>
      <c r="L3" s="4">
        <f>Provider_Source!I3</f>
        <v/>
      </c>
      <c r="M3" s="4">
        <f>XLOOKUP($A3,Directory_Output!$A$2:$A$201,Directory_Output!$I$2:$I$201,"NOT FOUND")</f>
        <v/>
      </c>
      <c r="N3" s="4">
        <f>IF(L3=M3,"Match","MISMATCH")</f>
        <v/>
      </c>
      <c r="O3" s="4">
        <f>Provider_Source!J3</f>
        <v/>
      </c>
      <c r="P3" s="4">
        <f>XLOOKUP($A3,Directory_Output!$A$2:$A$201,Directory_Output!$J$2:$J$201,"NOT FOUND")</f>
        <v/>
      </c>
      <c r="Q3" s="4">
        <f>IF(O3=P3,"Match","MISMATCH")</f>
        <v/>
      </c>
      <c r="R3" s="4">
        <f>COUNTIF(E3:Q3,"MISMATCH")</f>
        <v/>
      </c>
      <c r="S3" s="4">
        <f>IF(R3=0,"Clean","Needs Review")</f>
        <v/>
      </c>
    </row>
    <row r="4">
      <c r="A4" s="4">
        <f>Provider_Source!A4</f>
        <v/>
      </c>
      <c r="B4" s="4">
        <f>Provider_Source!B4</f>
        <v/>
      </c>
      <c r="C4" s="4">
        <f>Provider_Source!H4</f>
        <v/>
      </c>
      <c r="D4" s="4">
        <f>XLOOKUP($A4,Directory_Output!$A$2:$A$201,Directory_Output!$H$2:$H$201,"NOT FOUND")</f>
        <v/>
      </c>
      <c r="E4" s="4">
        <f>IF(C4=D4,"Match","MISMATCH")</f>
        <v/>
      </c>
      <c r="F4" s="4">
        <f>Provider_Source!D4</f>
        <v/>
      </c>
      <c r="G4" s="4">
        <f>XLOOKUP($A4,Directory_Output!$A$2:$A$201,Directory_Output!$D$2:$D$201,"NOT FOUND")</f>
        <v/>
      </c>
      <c r="H4" s="4">
        <f>IF(F4=G4,"Match","MISMATCH")</f>
        <v/>
      </c>
      <c r="I4" s="4">
        <f>Provider_Source!C4</f>
        <v/>
      </c>
      <c r="J4" s="4">
        <f>XLOOKUP($A4,Directory_Output!$A$2:$A$201,Directory_Output!$C$2:$C$201,"NOT FOUND")</f>
        <v/>
      </c>
      <c r="K4" s="4">
        <f>IF(I4=J4,"Match","MISMATCH")</f>
        <v/>
      </c>
      <c r="L4" s="4">
        <f>Provider_Source!I4</f>
        <v/>
      </c>
      <c r="M4" s="4">
        <f>XLOOKUP($A4,Directory_Output!$A$2:$A$201,Directory_Output!$I$2:$I$201,"NOT FOUND")</f>
        <v/>
      </c>
      <c r="N4" s="4">
        <f>IF(L4=M4,"Match","MISMATCH")</f>
        <v/>
      </c>
      <c r="O4" s="4">
        <f>Provider_Source!J4</f>
        <v/>
      </c>
      <c r="P4" s="4">
        <f>XLOOKUP($A4,Directory_Output!$A$2:$A$201,Directory_Output!$J$2:$J$201,"NOT FOUND")</f>
        <v/>
      </c>
      <c r="Q4" s="4">
        <f>IF(O4=P4,"Match","MISMATCH")</f>
        <v/>
      </c>
      <c r="R4" s="4">
        <f>COUNTIF(E4:Q4,"MISMATCH")</f>
        <v/>
      </c>
      <c r="S4" s="4">
        <f>IF(R4=0,"Clean","Needs Review")</f>
        <v/>
      </c>
    </row>
    <row r="5">
      <c r="A5" s="4">
        <f>Provider_Source!A5</f>
        <v/>
      </c>
      <c r="B5" s="4">
        <f>Provider_Source!B5</f>
        <v/>
      </c>
      <c r="C5" s="4">
        <f>Provider_Source!H5</f>
        <v/>
      </c>
      <c r="D5" s="4">
        <f>XLOOKUP($A5,Directory_Output!$A$2:$A$201,Directory_Output!$H$2:$H$201,"NOT FOUND")</f>
        <v/>
      </c>
      <c r="E5" s="4">
        <f>IF(C5=D5,"Match","MISMATCH")</f>
        <v/>
      </c>
      <c r="F5" s="4">
        <f>Provider_Source!D5</f>
        <v/>
      </c>
      <c r="G5" s="4">
        <f>XLOOKUP($A5,Directory_Output!$A$2:$A$201,Directory_Output!$D$2:$D$201,"NOT FOUND")</f>
        <v/>
      </c>
      <c r="H5" s="4">
        <f>IF(F5=G5,"Match","MISMATCH")</f>
        <v/>
      </c>
      <c r="I5" s="4">
        <f>Provider_Source!C5</f>
        <v/>
      </c>
      <c r="J5" s="4">
        <f>XLOOKUP($A5,Directory_Output!$A$2:$A$201,Directory_Output!$C$2:$C$201,"NOT FOUND")</f>
        <v/>
      </c>
      <c r="K5" s="4">
        <f>IF(I5=J5,"Match","MISMATCH")</f>
        <v/>
      </c>
      <c r="L5" s="4">
        <f>Provider_Source!I5</f>
        <v/>
      </c>
      <c r="M5" s="4">
        <f>XLOOKUP($A5,Directory_Output!$A$2:$A$201,Directory_Output!$I$2:$I$201,"NOT FOUND")</f>
        <v/>
      </c>
      <c r="N5" s="4">
        <f>IF(L5=M5,"Match","MISMATCH")</f>
        <v/>
      </c>
      <c r="O5" s="4">
        <f>Provider_Source!J5</f>
        <v/>
      </c>
      <c r="P5" s="4">
        <f>XLOOKUP($A5,Directory_Output!$A$2:$A$201,Directory_Output!$J$2:$J$201,"NOT FOUND")</f>
        <v/>
      </c>
      <c r="Q5" s="4">
        <f>IF(O5=P5,"Match","MISMATCH")</f>
        <v/>
      </c>
      <c r="R5" s="4">
        <f>COUNTIF(E5:Q5,"MISMATCH")</f>
        <v/>
      </c>
      <c r="S5" s="4">
        <f>IF(R5=0,"Clean","Needs Review")</f>
        <v/>
      </c>
    </row>
    <row r="6">
      <c r="A6" s="4">
        <f>Provider_Source!A6</f>
        <v/>
      </c>
      <c r="B6" s="4">
        <f>Provider_Source!B6</f>
        <v/>
      </c>
      <c r="C6" s="4">
        <f>Provider_Source!H6</f>
        <v/>
      </c>
      <c r="D6" s="4">
        <f>XLOOKUP($A6,Directory_Output!$A$2:$A$201,Directory_Output!$H$2:$H$201,"NOT FOUND")</f>
        <v/>
      </c>
      <c r="E6" s="4">
        <f>IF(C6=D6,"Match","MISMATCH")</f>
        <v/>
      </c>
      <c r="F6" s="4">
        <f>Provider_Source!D6</f>
        <v/>
      </c>
      <c r="G6" s="4">
        <f>XLOOKUP($A6,Directory_Output!$A$2:$A$201,Directory_Output!$D$2:$D$201,"NOT FOUND")</f>
        <v/>
      </c>
      <c r="H6" s="4">
        <f>IF(F6=G6,"Match","MISMATCH")</f>
        <v/>
      </c>
      <c r="I6" s="4">
        <f>Provider_Source!C6</f>
        <v/>
      </c>
      <c r="J6" s="4">
        <f>XLOOKUP($A6,Directory_Output!$A$2:$A$201,Directory_Output!$C$2:$C$201,"NOT FOUND")</f>
        <v/>
      </c>
      <c r="K6" s="4">
        <f>IF(I6=J6,"Match","MISMATCH")</f>
        <v/>
      </c>
      <c r="L6" s="4">
        <f>Provider_Source!I6</f>
        <v/>
      </c>
      <c r="M6" s="4">
        <f>XLOOKUP($A6,Directory_Output!$A$2:$A$201,Directory_Output!$I$2:$I$201,"NOT FOUND")</f>
        <v/>
      </c>
      <c r="N6" s="4">
        <f>IF(L6=M6,"Match","MISMATCH")</f>
        <v/>
      </c>
      <c r="O6" s="4">
        <f>Provider_Source!J6</f>
        <v/>
      </c>
      <c r="P6" s="4">
        <f>XLOOKUP($A6,Directory_Output!$A$2:$A$201,Directory_Output!$J$2:$J$201,"NOT FOUND")</f>
        <v/>
      </c>
      <c r="Q6" s="4">
        <f>IF(O6=P6,"Match","MISMATCH")</f>
        <v/>
      </c>
      <c r="R6" s="4">
        <f>COUNTIF(E6:Q6,"MISMATCH")</f>
        <v/>
      </c>
      <c r="S6" s="4">
        <f>IF(R6=0,"Clean","Needs Review")</f>
        <v/>
      </c>
    </row>
    <row r="7">
      <c r="A7" s="4">
        <f>Provider_Source!A7</f>
        <v/>
      </c>
      <c r="B7" s="4">
        <f>Provider_Source!B7</f>
        <v/>
      </c>
      <c r="C7" s="4">
        <f>Provider_Source!H7</f>
        <v/>
      </c>
      <c r="D7" s="4">
        <f>XLOOKUP($A7,Directory_Output!$A$2:$A$201,Directory_Output!$H$2:$H$201,"NOT FOUND")</f>
        <v/>
      </c>
      <c r="E7" s="4">
        <f>IF(C7=D7,"Match","MISMATCH")</f>
        <v/>
      </c>
      <c r="F7" s="4">
        <f>Provider_Source!D7</f>
        <v/>
      </c>
      <c r="G7" s="4">
        <f>XLOOKUP($A7,Directory_Output!$A$2:$A$201,Directory_Output!$D$2:$D$201,"NOT FOUND")</f>
        <v/>
      </c>
      <c r="H7" s="4">
        <f>IF(F7=G7,"Match","MISMATCH")</f>
        <v/>
      </c>
      <c r="I7" s="4">
        <f>Provider_Source!C7</f>
        <v/>
      </c>
      <c r="J7" s="4">
        <f>XLOOKUP($A7,Directory_Output!$A$2:$A$201,Directory_Output!$C$2:$C$201,"NOT FOUND")</f>
        <v/>
      </c>
      <c r="K7" s="4">
        <f>IF(I7=J7,"Match","MISMATCH")</f>
        <v/>
      </c>
      <c r="L7" s="4">
        <f>Provider_Source!I7</f>
        <v/>
      </c>
      <c r="M7" s="4">
        <f>XLOOKUP($A7,Directory_Output!$A$2:$A$201,Directory_Output!$I$2:$I$201,"NOT FOUND")</f>
        <v/>
      </c>
      <c r="N7" s="4">
        <f>IF(L7=M7,"Match","MISMATCH")</f>
        <v/>
      </c>
      <c r="O7" s="4">
        <f>Provider_Source!J7</f>
        <v/>
      </c>
      <c r="P7" s="4">
        <f>XLOOKUP($A7,Directory_Output!$A$2:$A$201,Directory_Output!$J$2:$J$201,"NOT FOUND")</f>
        <v/>
      </c>
      <c r="Q7" s="4">
        <f>IF(O7=P7,"Match","MISMATCH")</f>
        <v/>
      </c>
      <c r="R7" s="4">
        <f>COUNTIF(E7:Q7,"MISMATCH")</f>
        <v/>
      </c>
      <c r="S7" s="4">
        <f>IF(R7=0,"Clean","Needs Review")</f>
        <v/>
      </c>
    </row>
    <row r="8">
      <c r="A8" s="4">
        <f>Provider_Source!A8</f>
        <v/>
      </c>
      <c r="B8" s="4">
        <f>Provider_Source!B8</f>
        <v/>
      </c>
      <c r="C8" s="4">
        <f>Provider_Source!H8</f>
        <v/>
      </c>
      <c r="D8" s="4">
        <f>XLOOKUP($A8,Directory_Output!$A$2:$A$201,Directory_Output!$H$2:$H$201,"NOT FOUND")</f>
        <v/>
      </c>
      <c r="E8" s="4">
        <f>IF(C8=D8,"Match","MISMATCH")</f>
        <v/>
      </c>
      <c r="F8" s="4">
        <f>Provider_Source!D8</f>
        <v/>
      </c>
      <c r="G8" s="4">
        <f>XLOOKUP($A8,Directory_Output!$A$2:$A$201,Directory_Output!$D$2:$D$201,"NOT FOUND")</f>
        <v/>
      </c>
      <c r="H8" s="4">
        <f>IF(F8=G8,"Match","MISMATCH")</f>
        <v/>
      </c>
      <c r="I8" s="4">
        <f>Provider_Source!C8</f>
        <v/>
      </c>
      <c r="J8" s="4">
        <f>XLOOKUP($A8,Directory_Output!$A$2:$A$201,Directory_Output!$C$2:$C$201,"NOT FOUND")</f>
        <v/>
      </c>
      <c r="K8" s="4">
        <f>IF(I8=J8,"Match","MISMATCH")</f>
        <v/>
      </c>
      <c r="L8" s="4">
        <f>Provider_Source!I8</f>
        <v/>
      </c>
      <c r="M8" s="4">
        <f>XLOOKUP($A8,Directory_Output!$A$2:$A$201,Directory_Output!$I$2:$I$201,"NOT FOUND")</f>
        <v/>
      </c>
      <c r="N8" s="4">
        <f>IF(L8=M8,"Match","MISMATCH")</f>
        <v/>
      </c>
      <c r="O8" s="4">
        <f>Provider_Source!J8</f>
        <v/>
      </c>
      <c r="P8" s="4">
        <f>XLOOKUP($A8,Directory_Output!$A$2:$A$201,Directory_Output!$J$2:$J$201,"NOT FOUND")</f>
        <v/>
      </c>
      <c r="Q8" s="4">
        <f>IF(O8=P8,"Match","MISMATCH")</f>
        <v/>
      </c>
      <c r="R8" s="4">
        <f>COUNTIF(E8:Q8,"MISMATCH")</f>
        <v/>
      </c>
      <c r="S8" s="4">
        <f>IF(R8=0,"Clean","Needs Review")</f>
        <v/>
      </c>
    </row>
    <row r="9">
      <c r="A9" s="4">
        <f>Provider_Source!A9</f>
        <v/>
      </c>
      <c r="B9" s="4">
        <f>Provider_Source!B9</f>
        <v/>
      </c>
      <c r="C9" s="4">
        <f>Provider_Source!H9</f>
        <v/>
      </c>
      <c r="D9" s="4">
        <f>XLOOKUP($A9,Directory_Output!$A$2:$A$201,Directory_Output!$H$2:$H$201,"NOT FOUND")</f>
        <v/>
      </c>
      <c r="E9" s="4">
        <f>IF(C9=D9,"Match","MISMATCH")</f>
        <v/>
      </c>
      <c r="F9" s="4">
        <f>Provider_Source!D9</f>
        <v/>
      </c>
      <c r="G9" s="4">
        <f>XLOOKUP($A9,Directory_Output!$A$2:$A$201,Directory_Output!$D$2:$D$201,"NOT FOUND")</f>
        <v/>
      </c>
      <c r="H9" s="4">
        <f>IF(F9=G9,"Match","MISMATCH")</f>
        <v/>
      </c>
      <c r="I9" s="4">
        <f>Provider_Source!C9</f>
        <v/>
      </c>
      <c r="J9" s="4">
        <f>XLOOKUP($A9,Directory_Output!$A$2:$A$201,Directory_Output!$C$2:$C$201,"NOT FOUND")</f>
        <v/>
      </c>
      <c r="K9" s="4">
        <f>IF(I9=J9,"Match","MISMATCH")</f>
        <v/>
      </c>
      <c r="L9" s="4">
        <f>Provider_Source!I9</f>
        <v/>
      </c>
      <c r="M9" s="4">
        <f>XLOOKUP($A9,Directory_Output!$A$2:$A$201,Directory_Output!$I$2:$I$201,"NOT FOUND")</f>
        <v/>
      </c>
      <c r="N9" s="4">
        <f>IF(L9=M9,"Match","MISMATCH")</f>
        <v/>
      </c>
      <c r="O9" s="4">
        <f>Provider_Source!J9</f>
        <v/>
      </c>
      <c r="P9" s="4">
        <f>XLOOKUP($A9,Directory_Output!$A$2:$A$201,Directory_Output!$J$2:$J$201,"NOT FOUND")</f>
        <v/>
      </c>
      <c r="Q9" s="4">
        <f>IF(O9=P9,"Match","MISMATCH")</f>
        <v/>
      </c>
      <c r="R9" s="4">
        <f>COUNTIF(E9:Q9,"MISMATCH")</f>
        <v/>
      </c>
      <c r="S9" s="4">
        <f>IF(R9=0,"Clean","Needs Review")</f>
        <v/>
      </c>
    </row>
    <row r="10">
      <c r="A10" s="4">
        <f>Provider_Source!A10</f>
        <v/>
      </c>
      <c r="B10" s="4">
        <f>Provider_Source!B10</f>
        <v/>
      </c>
      <c r="C10" s="4">
        <f>Provider_Source!H10</f>
        <v/>
      </c>
      <c r="D10" s="4">
        <f>XLOOKUP($A10,Directory_Output!$A$2:$A$201,Directory_Output!$H$2:$H$201,"NOT FOUND")</f>
        <v/>
      </c>
      <c r="E10" s="4">
        <f>IF(C10=D10,"Match","MISMATCH")</f>
        <v/>
      </c>
      <c r="F10" s="4">
        <f>Provider_Source!D10</f>
        <v/>
      </c>
      <c r="G10" s="4">
        <f>XLOOKUP($A10,Directory_Output!$A$2:$A$201,Directory_Output!$D$2:$D$201,"NOT FOUND")</f>
        <v/>
      </c>
      <c r="H10" s="4">
        <f>IF(F10=G10,"Match","MISMATCH")</f>
        <v/>
      </c>
      <c r="I10" s="4">
        <f>Provider_Source!C10</f>
        <v/>
      </c>
      <c r="J10" s="4">
        <f>XLOOKUP($A10,Directory_Output!$A$2:$A$201,Directory_Output!$C$2:$C$201,"NOT FOUND")</f>
        <v/>
      </c>
      <c r="K10" s="4">
        <f>IF(I10=J10,"Match","MISMATCH")</f>
        <v/>
      </c>
      <c r="L10" s="4">
        <f>Provider_Source!I10</f>
        <v/>
      </c>
      <c r="M10" s="4">
        <f>XLOOKUP($A10,Directory_Output!$A$2:$A$201,Directory_Output!$I$2:$I$201,"NOT FOUND")</f>
        <v/>
      </c>
      <c r="N10" s="4">
        <f>IF(L10=M10,"Match","MISMATCH")</f>
        <v/>
      </c>
      <c r="O10" s="4">
        <f>Provider_Source!J10</f>
        <v/>
      </c>
      <c r="P10" s="4">
        <f>XLOOKUP($A10,Directory_Output!$A$2:$A$201,Directory_Output!$J$2:$J$201,"NOT FOUND")</f>
        <v/>
      </c>
      <c r="Q10" s="4">
        <f>IF(O10=P10,"Match","MISMATCH")</f>
        <v/>
      </c>
      <c r="R10" s="4">
        <f>COUNTIF(E10:Q10,"MISMATCH")</f>
        <v/>
      </c>
      <c r="S10" s="4">
        <f>IF(R10=0,"Clean","Needs Review")</f>
        <v/>
      </c>
    </row>
    <row r="11">
      <c r="A11" s="4">
        <f>Provider_Source!A11</f>
        <v/>
      </c>
      <c r="B11" s="4">
        <f>Provider_Source!B11</f>
        <v/>
      </c>
      <c r="C11" s="4">
        <f>Provider_Source!H11</f>
        <v/>
      </c>
      <c r="D11" s="4">
        <f>XLOOKUP($A11,Directory_Output!$A$2:$A$201,Directory_Output!$H$2:$H$201,"NOT FOUND")</f>
        <v/>
      </c>
      <c r="E11" s="4">
        <f>IF(C11=D11,"Match","MISMATCH")</f>
        <v/>
      </c>
      <c r="F11" s="4">
        <f>Provider_Source!D11</f>
        <v/>
      </c>
      <c r="G11" s="4">
        <f>XLOOKUP($A11,Directory_Output!$A$2:$A$201,Directory_Output!$D$2:$D$201,"NOT FOUND")</f>
        <v/>
      </c>
      <c r="H11" s="4">
        <f>IF(F11=G11,"Match","MISMATCH")</f>
        <v/>
      </c>
      <c r="I11" s="4">
        <f>Provider_Source!C11</f>
        <v/>
      </c>
      <c r="J11" s="4">
        <f>XLOOKUP($A11,Directory_Output!$A$2:$A$201,Directory_Output!$C$2:$C$201,"NOT FOUND")</f>
        <v/>
      </c>
      <c r="K11" s="4">
        <f>IF(I11=J11,"Match","MISMATCH")</f>
        <v/>
      </c>
      <c r="L11" s="4">
        <f>Provider_Source!I11</f>
        <v/>
      </c>
      <c r="M11" s="4">
        <f>XLOOKUP($A11,Directory_Output!$A$2:$A$201,Directory_Output!$I$2:$I$201,"NOT FOUND")</f>
        <v/>
      </c>
      <c r="N11" s="4">
        <f>IF(L11=M11,"Match","MISMATCH")</f>
        <v/>
      </c>
      <c r="O11" s="4">
        <f>Provider_Source!J11</f>
        <v/>
      </c>
      <c r="P11" s="4">
        <f>XLOOKUP($A11,Directory_Output!$A$2:$A$201,Directory_Output!$J$2:$J$201,"NOT FOUND")</f>
        <v/>
      </c>
      <c r="Q11" s="4">
        <f>IF(O11=P11,"Match","MISMATCH")</f>
        <v/>
      </c>
      <c r="R11" s="4">
        <f>COUNTIF(E11:Q11,"MISMATCH")</f>
        <v/>
      </c>
      <c r="S11" s="4">
        <f>IF(R11=0,"Clean","Needs Review")</f>
        <v/>
      </c>
    </row>
    <row r="12">
      <c r="A12" s="4">
        <f>Provider_Source!A12</f>
        <v/>
      </c>
      <c r="B12" s="4">
        <f>Provider_Source!B12</f>
        <v/>
      </c>
      <c r="C12" s="4">
        <f>Provider_Source!H12</f>
        <v/>
      </c>
      <c r="D12" s="4">
        <f>XLOOKUP($A12,Directory_Output!$A$2:$A$201,Directory_Output!$H$2:$H$201,"NOT FOUND")</f>
        <v/>
      </c>
      <c r="E12" s="4">
        <f>IF(C12=D12,"Match","MISMATCH")</f>
        <v/>
      </c>
      <c r="F12" s="4">
        <f>Provider_Source!D12</f>
        <v/>
      </c>
      <c r="G12" s="4">
        <f>XLOOKUP($A12,Directory_Output!$A$2:$A$201,Directory_Output!$D$2:$D$201,"NOT FOUND")</f>
        <v/>
      </c>
      <c r="H12" s="4">
        <f>IF(F12=G12,"Match","MISMATCH")</f>
        <v/>
      </c>
      <c r="I12" s="4">
        <f>Provider_Source!C12</f>
        <v/>
      </c>
      <c r="J12" s="4">
        <f>XLOOKUP($A12,Directory_Output!$A$2:$A$201,Directory_Output!$C$2:$C$201,"NOT FOUND")</f>
        <v/>
      </c>
      <c r="K12" s="4">
        <f>IF(I12=J12,"Match","MISMATCH")</f>
        <v/>
      </c>
      <c r="L12" s="4">
        <f>Provider_Source!I12</f>
        <v/>
      </c>
      <c r="M12" s="4">
        <f>XLOOKUP($A12,Directory_Output!$A$2:$A$201,Directory_Output!$I$2:$I$201,"NOT FOUND")</f>
        <v/>
      </c>
      <c r="N12" s="4">
        <f>IF(L12=M12,"Match","MISMATCH")</f>
        <v/>
      </c>
      <c r="O12" s="4">
        <f>Provider_Source!J12</f>
        <v/>
      </c>
      <c r="P12" s="4">
        <f>XLOOKUP($A12,Directory_Output!$A$2:$A$201,Directory_Output!$J$2:$J$201,"NOT FOUND")</f>
        <v/>
      </c>
      <c r="Q12" s="4">
        <f>IF(O12=P12,"Match","MISMATCH")</f>
        <v/>
      </c>
      <c r="R12" s="4">
        <f>COUNTIF(E12:Q12,"MISMATCH")</f>
        <v/>
      </c>
      <c r="S12" s="4">
        <f>IF(R12=0,"Clean","Needs Review")</f>
        <v/>
      </c>
    </row>
    <row r="13">
      <c r="A13" s="4">
        <f>Provider_Source!A13</f>
        <v/>
      </c>
      <c r="B13" s="4">
        <f>Provider_Source!B13</f>
        <v/>
      </c>
      <c r="C13" s="4">
        <f>Provider_Source!H13</f>
        <v/>
      </c>
      <c r="D13" s="4">
        <f>XLOOKUP($A13,Directory_Output!$A$2:$A$201,Directory_Output!$H$2:$H$201,"NOT FOUND")</f>
        <v/>
      </c>
      <c r="E13" s="4">
        <f>IF(C13=D13,"Match","MISMATCH")</f>
        <v/>
      </c>
      <c r="F13" s="4">
        <f>Provider_Source!D13</f>
        <v/>
      </c>
      <c r="G13" s="4">
        <f>XLOOKUP($A13,Directory_Output!$A$2:$A$201,Directory_Output!$D$2:$D$201,"NOT FOUND")</f>
        <v/>
      </c>
      <c r="H13" s="4">
        <f>IF(F13=G13,"Match","MISMATCH")</f>
        <v/>
      </c>
      <c r="I13" s="4">
        <f>Provider_Source!C13</f>
        <v/>
      </c>
      <c r="J13" s="4">
        <f>XLOOKUP($A13,Directory_Output!$A$2:$A$201,Directory_Output!$C$2:$C$201,"NOT FOUND")</f>
        <v/>
      </c>
      <c r="K13" s="4">
        <f>IF(I13=J13,"Match","MISMATCH")</f>
        <v/>
      </c>
      <c r="L13" s="4">
        <f>Provider_Source!I13</f>
        <v/>
      </c>
      <c r="M13" s="4">
        <f>XLOOKUP($A13,Directory_Output!$A$2:$A$201,Directory_Output!$I$2:$I$201,"NOT FOUND")</f>
        <v/>
      </c>
      <c r="N13" s="4">
        <f>IF(L13=M13,"Match","MISMATCH")</f>
        <v/>
      </c>
      <c r="O13" s="4">
        <f>Provider_Source!J13</f>
        <v/>
      </c>
      <c r="P13" s="4">
        <f>XLOOKUP($A13,Directory_Output!$A$2:$A$201,Directory_Output!$J$2:$J$201,"NOT FOUND")</f>
        <v/>
      </c>
      <c r="Q13" s="4">
        <f>IF(O13=P13,"Match","MISMATCH")</f>
        <v/>
      </c>
      <c r="R13" s="4">
        <f>COUNTIF(E13:Q13,"MISMATCH")</f>
        <v/>
      </c>
      <c r="S13" s="4">
        <f>IF(R13=0,"Clean","Needs Review")</f>
        <v/>
      </c>
    </row>
    <row r="14">
      <c r="A14" s="4">
        <f>Provider_Source!A14</f>
        <v/>
      </c>
      <c r="B14" s="4">
        <f>Provider_Source!B14</f>
        <v/>
      </c>
      <c r="C14" s="4">
        <f>Provider_Source!H14</f>
        <v/>
      </c>
      <c r="D14" s="4">
        <f>XLOOKUP($A14,Directory_Output!$A$2:$A$201,Directory_Output!$H$2:$H$201,"NOT FOUND")</f>
        <v/>
      </c>
      <c r="E14" s="4">
        <f>IF(C14=D14,"Match","MISMATCH")</f>
        <v/>
      </c>
      <c r="F14" s="4">
        <f>Provider_Source!D14</f>
        <v/>
      </c>
      <c r="G14" s="4">
        <f>XLOOKUP($A14,Directory_Output!$A$2:$A$201,Directory_Output!$D$2:$D$201,"NOT FOUND")</f>
        <v/>
      </c>
      <c r="H14" s="4">
        <f>IF(F14=G14,"Match","MISMATCH")</f>
        <v/>
      </c>
      <c r="I14" s="4">
        <f>Provider_Source!C14</f>
        <v/>
      </c>
      <c r="J14" s="4">
        <f>XLOOKUP($A14,Directory_Output!$A$2:$A$201,Directory_Output!$C$2:$C$201,"NOT FOUND")</f>
        <v/>
      </c>
      <c r="K14" s="4">
        <f>IF(I14=J14,"Match","MISMATCH")</f>
        <v/>
      </c>
      <c r="L14" s="4">
        <f>Provider_Source!I14</f>
        <v/>
      </c>
      <c r="M14" s="4">
        <f>XLOOKUP($A14,Directory_Output!$A$2:$A$201,Directory_Output!$I$2:$I$201,"NOT FOUND")</f>
        <v/>
      </c>
      <c r="N14" s="4">
        <f>IF(L14=M14,"Match","MISMATCH")</f>
        <v/>
      </c>
      <c r="O14" s="4">
        <f>Provider_Source!J14</f>
        <v/>
      </c>
      <c r="P14" s="4">
        <f>XLOOKUP($A14,Directory_Output!$A$2:$A$201,Directory_Output!$J$2:$J$201,"NOT FOUND")</f>
        <v/>
      </c>
      <c r="Q14" s="4">
        <f>IF(O14=P14,"Match","MISMATCH")</f>
        <v/>
      </c>
      <c r="R14" s="4">
        <f>COUNTIF(E14:Q14,"MISMATCH")</f>
        <v/>
      </c>
      <c r="S14" s="4">
        <f>IF(R14=0,"Clean","Needs Review")</f>
        <v/>
      </c>
    </row>
    <row r="15">
      <c r="A15" s="4">
        <f>Provider_Source!A15</f>
        <v/>
      </c>
      <c r="B15" s="4">
        <f>Provider_Source!B15</f>
        <v/>
      </c>
      <c r="C15" s="4">
        <f>Provider_Source!H15</f>
        <v/>
      </c>
      <c r="D15" s="4">
        <f>XLOOKUP($A15,Directory_Output!$A$2:$A$201,Directory_Output!$H$2:$H$201,"NOT FOUND")</f>
        <v/>
      </c>
      <c r="E15" s="4">
        <f>IF(C15=D15,"Match","MISMATCH")</f>
        <v/>
      </c>
      <c r="F15" s="4">
        <f>Provider_Source!D15</f>
        <v/>
      </c>
      <c r="G15" s="4">
        <f>XLOOKUP($A15,Directory_Output!$A$2:$A$201,Directory_Output!$D$2:$D$201,"NOT FOUND")</f>
        <v/>
      </c>
      <c r="H15" s="4">
        <f>IF(F15=G15,"Match","MISMATCH")</f>
        <v/>
      </c>
      <c r="I15" s="4">
        <f>Provider_Source!C15</f>
        <v/>
      </c>
      <c r="J15" s="4">
        <f>XLOOKUP($A15,Directory_Output!$A$2:$A$201,Directory_Output!$C$2:$C$201,"NOT FOUND")</f>
        <v/>
      </c>
      <c r="K15" s="4">
        <f>IF(I15=J15,"Match","MISMATCH")</f>
        <v/>
      </c>
      <c r="L15" s="4">
        <f>Provider_Source!I15</f>
        <v/>
      </c>
      <c r="M15" s="4">
        <f>XLOOKUP($A15,Directory_Output!$A$2:$A$201,Directory_Output!$I$2:$I$201,"NOT FOUND")</f>
        <v/>
      </c>
      <c r="N15" s="4">
        <f>IF(L15=M15,"Match","MISMATCH")</f>
        <v/>
      </c>
      <c r="O15" s="4">
        <f>Provider_Source!J15</f>
        <v/>
      </c>
      <c r="P15" s="4">
        <f>XLOOKUP($A15,Directory_Output!$A$2:$A$201,Directory_Output!$J$2:$J$201,"NOT FOUND")</f>
        <v/>
      </c>
      <c r="Q15" s="4">
        <f>IF(O15=P15,"Match","MISMATCH")</f>
        <v/>
      </c>
      <c r="R15" s="4">
        <f>COUNTIF(E15:Q15,"MISMATCH")</f>
        <v/>
      </c>
      <c r="S15" s="4">
        <f>IF(R15=0,"Clean","Needs Review")</f>
        <v/>
      </c>
    </row>
    <row r="16">
      <c r="A16" s="4">
        <f>Provider_Source!A16</f>
        <v/>
      </c>
      <c r="B16" s="4">
        <f>Provider_Source!B16</f>
        <v/>
      </c>
      <c r="C16" s="4">
        <f>Provider_Source!H16</f>
        <v/>
      </c>
      <c r="D16" s="4">
        <f>XLOOKUP($A16,Directory_Output!$A$2:$A$201,Directory_Output!$H$2:$H$201,"NOT FOUND")</f>
        <v/>
      </c>
      <c r="E16" s="4">
        <f>IF(C16=D16,"Match","MISMATCH")</f>
        <v/>
      </c>
      <c r="F16" s="4">
        <f>Provider_Source!D16</f>
        <v/>
      </c>
      <c r="G16" s="4">
        <f>XLOOKUP($A16,Directory_Output!$A$2:$A$201,Directory_Output!$D$2:$D$201,"NOT FOUND")</f>
        <v/>
      </c>
      <c r="H16" s="4">
        <f>IF(F16=G16,"Match","MISMATCH")</f>
        <v/>
      </c>
      <c r="I16" s="4">
        <f>Provider_Source!C16</f>
        <v/>
      </c>
      <c r="J16" s="4">
        <f>XLOOKUP($A16,Directory_Output!$A$2:$A$201,Directory_Output!$C$2:$C$201,"NOT FOUND")</f>
        <v/>
      </c>
      <c r="K16" s="4">
        <f>IF(I16=J16,"Match","MISMATCH")</f>
        <v/>
      </c>
      <c r="L16" s="4">
        <f>Provider_Source!I16</f>
        <v/>
      </c>
      <c r="M16" s="4">
        <f>XLOOKUP($A16,Directory_Output!$A$2:$A$201,Directory_Output!$I$2:$I$201,"NOT FOUND")</f>
        <v/>
      </c>
      <c r="N16" s="4">
        <f>IF(L16=M16,"Match","MISMATCH")</f>
        <v/>
      </c>
      <c r="O16" s="4">
        <f>Provider_Source!J16</f>
        <v/>
      </c>
      <c r="P16" s="4">
        <f>XLOOKUP($A16,Directory_Output!$A$2:$A$201,Directory_Output!$J$2:$J$201,"NOT FOUND")</f>
        <v/>
      </c>
      <c r="Q16" s="4">
        <f>IF(O16=P16,"Match","MISMATCH")</f>
        <v/>
      </c>
      <c r="R16" s="4">
        <f>COUNTIF(E16:Q16,"MISMATCH")</f>
        <v/>
      </c>
      <c r="S16" s="4">
        <f>IF(R16=0,"Clean","Needs Review")</f>
        <v/>
      </c>
    </row>
    <row r="17">
      <c r="A17" s="4">
        <f>Provider_Source!A17</f>
        <v/>
      </c>
      <c r="B17" s="4">
        <f>Provider_Source!B17</f>
        <v/>
      </c>
      <c r="C17" s="4">
        <f>Provider_Source!H17</f>
        <v/>
      </c>
      <c r="D17" s="4">
        <f>XLOOKUP($A17,Directory_Output!$A$2:$A$201,Directory_Output!$H$2:$H$201,"NOT FOUND")</f>
        <v/>
      </c>
      <c r="E17" s="4">
        <f>IF(C17=D17,"Match","MISMATCH")</f>
        <v/>
      </c>
      <c r="F17" s="4">
        <f>Provider_Source!D17</f>
        <v/>
      </c>
      <c r="G17" s="4">
        <f>XLOOKUP($A17,Directory_Output!$A$2:$A$201,Directory_Output!$D$2:$D$201,"NOT FOUND")</f>
        <v/>
      </c>
      <c r="H17" s="4">
        <f>IF(F17=G17,"Match","MISMATCH")</f>
        <v/>
      </c>
      <c r="I17" s="4">
        <f>Provider_Source!C17</f>
        <v/>
      </c>
      <c r="J17" s="4">
        <f>XLOOKUP($A17,Directory_Output!$A$2:$A$201,Directory_Output!$C$2:$C$201,"NOT FOUND")</f>
        <v/>
      </c>
      <c r="K17" s="4">
        <f>IF(I17=J17,"Match","MISMATCH")</f>
        <v/>
      </c>
      <c r="L17" s="4">
        <f>Provider_Source!I17</f>
        <v/>
      </c>
      <c r="M17" s="4">
        <f>XLOOKUP($A17,Directory_Output!$A$2:$A$201,Directory_Output!$I$2:$I$201,"NOT FOUND")</f>
        <v/>
      </c>
      <c r="N17" s="4">
        <f>IF(L17=M17,"Match","MISMATCH")</f>
        <v/>
      </c>
      <c r="O17" s="4">
        <f>Provider_Source!J17</f>
        <v/>
      </c>
      <c r="P17" s="4">
        <f>XLOOKUP($A17,Directory_Output!$A$2:$A$201,Directory_Output!$J$2:$J$201,"NOT FOUND")</f>
        <v/>
      </c>
      <c r="Q17" s="4">
        <f>IF(O17=P17,"Match","MISMATCH")</f>
        <v/>
      </c>
      <c r="R17" s="4">
        <f>COUNTIF(E17:Q17,"MISMATCH")</f>
        <v/>
      </c>
      <c r="S17" s="4">
        <f>IF(R17=0,"Clean","Needs Review")</f>
        <v/>
      </c>
    </row>
    <row r="18">
      <c r="A18" s="4">
        <f>Provider_Source!A18</f>
        <v/>
      </c>
      <c r="B18" s="4">
        <f>Provider_Source!B18</f>
        <v/>
      </c>
      <c r="C18" s="4">
        <f>Provider_Source!H18</f>
        <v/>
      </c>
      <c r="D18" s="4">
        <f>XLOOKUP($A18,Directory_Output!$A$2:$A$201,Directory_Output!$H$2:$H$201,"NOT FOUND")</f>
        <v/>
      </c>
      <c r="E18" s="4">
        <f>IF(C18=D18,"Match","MISMATCH")</f>
        <v/>
      </c>
      <c r="F18" s="4">
        <f>Provider_Source!D18</f>
        <v/>
      </c>
      <c r="G18" s="4">
        <f>XLOOKUP($A18,Directory_Output!$A$2:$A$201,Directory_Output!$D$2:$D$201,"NOT FOUND")</f>
        <v/>
      </c>
      <c r="H18" s="4">
        <f>IF(F18=G18,"Match","MISMATCH")</f>
        <v/>
      </c>
      <c r="I18" s="4">
        <f>Provider_Source!C18</f>
        <v/>
      </c>
      <c r="J18" s="4">
        <f>XLOOKUP($A18,Directory_Output!$A$2:$A$201,Directory_Output!$C$2:$C$201,"NOT FOUND")</f>
        <v/>
      </c>
      <c r="K18" s="4">
        <f>IF(I18=J18,"Match","MISMATCH")</f>
        <v/>
      </c>
      <c r="L18" s="4">
        <f>Provider_Source!I18</f>
        <v/>
      </c>
      <c r="M18" s="4">
        <f>XLOOKUP($A18,Directory_Output!$A$2:$A$201,Directory_Output!$I$2:$I$201,"NOT FOUND")</f>
        <v/>
      </c>
      <c r="N18" s="4">
        <f>IF(L18=M18,"Match","MISMATCH")</f>
        <v/>
      </c>
      <c r="O18" s="4">
        <f>Provider_Source!J18</f>
        <v/>
      </c>
      <c r="P18" s="4">
        <f>XLOOKUP($A18,Directory_Output!$A$2:$A$201,Directory_Output!$J$2:$J$201,"NOT FOUND")</f>
        <v/>
      </c>
      <c r="Q18" s="4">
        <f>IF(O18=P18,"Match","MISMATCH")</f>
        <v/>
      </c>
      <c r="R18" s="4">
        <f>COUNTIF(E18:Q18,"MISMATCH")</f>
        <v/>
      </c>
      <c r="S18" s="4">
        <f>IF(R18=0,"Clean","Needs Review")</f>
        <v/>
      </c>
    </row>
    <row r="19">
      <c r="A19" s="4">
        <f>Provider_Source!A19</f>
        <v/>
      </c>
      <c r="B19" s="4">
        <f>Provider_Source!B19</f>
        <v/>
      </c>
      <c r="C19" s="4">
        <f>Provider_Source!H19</f>
        <v/>
      </c>
      <c r="D19" s="4">
        <f>XLOOKUP($A19,Directory_Output!$A$2:$A$201,Directory_Output!$H$2:$H$201,"NOT FOUND")</f>
        <v/>
      </c>
      <c r="E19" s="4">
        <f>IF(C19=D19,"Match","MISMATCH")</f>
        <v/>
      </c>
      <c r="F19" s="4">
        <f>Provider_Source!D19</f>
        <v/>
      </c>
      <c r="G19" s="4">
        <f>XLOOKUP($A19,Directory_Output!$A$2:$A$201,Directory_Output!$D$2:$D$201,"NOT FOUND")</f>
        <v/>
      </c>
      <c r="H19" s="4">
        <f>IF(F19=G19,"Match","MISMATCH")</f>
        <v/>
      </c>
      <c r="I19" s="4">
        <f>Provider_Source!C19</f>
        <v/>
      </c>
      <c r="J19" s="4">
        <f>XLOOKUP($A19,Directory_Output!$A$2:$A$201,Directory_Output!$C$2:$C$201,"NOT FOUND")</f>
        <v/>
      </c>
      <c r="K19" s="4">
        <f>IF(I19=J19,"Match","MISMATCH")</f>
        <v/>
      </c>
      <c r="L19" s="4">
        <f>Provider_Source!I19</f>
        <v/>
      </c>
      <c r="M19" s="4">
        <f>XLOOKUP($A19,Directory_Output!$A$2:$A$201,Directory_Output!$I$2:$I$201,"NOT FOUND")</f>
        <v/>
      </c>
      <c r="N19" s="4">
        <f>IF(L19=M19,"Match","MISMATCH")</f>
        <v/>
      </c>
      <c r="O19" s="4">
        <f>Provider_Source!J19</f>
        <v/>
      </c>
      <c r="P19" s="4">
        <f>XLOOKUP($A19,Directory_Output!$A$2:$A$201,Directory_Output!$J$2:$J$201,"NOT FOUND")</f>
        <v/>
      </c>
      <c r="Q19" s="4">
        <f>IF(O19=P19,"Match","MISMATCH")</f>
        <v/>
      </c>
      <c r="R19" s="4">
        <f>COUNTIF(E19:Q19,"MISMATCH")</f>
        <v/>
      </c>
      <c r="S19" s="4">
        <f>IF(R19=0,"Clean","Needs Review")</f>
        <v/>
      </c>
    </row>
    <row r="20">
      <c r="A20" s="4">
        <f>Provider_Source!A20</f>
        <v/>
      </c>
      <c r="B20" s="4">
        <f>Provider_Source!B20</f>
        <v/>
      </c>
      <c r="C20" s="4">
        <f>Provider_Source!H20</f>
        <v/>
      </c>
      <c r="D20" s="4">
        <f>XLOOKUP($A20,Directory_Output!$A$2:$A$201,Directory_Output!$H$2:$H$201,"NOT FOUND")</f>
        <v/>
      </c>
      <c r="E20" s="4">
        <f>IF(C20=D20,"Match","MISMATCH")</f>
        <v/>
      </c>
      <c r="F20" s="4">
        <f>Provider_Source!D20</f>
        <v/>
      </c>
      <c r="G20" s="4">
        <f>XLOOKUP($A20,Directory_Output!$A$2:$A$201,Directory_Output!$D$2:$D$201,"NOT FOUND")</f>
        <v/>
      </c>
      <c r="H20" s="4">
        <f>IF(F20=G20,"Match","MISMATCH")</f>
        <v/>
      </c>
      <c r="I20" s="4">
        <f>Provider_Source!C20</f>
        <v/>
      </c>
      <c r="J20" s="4">
        <f>XLOOKUP($A20,Directory_Output!$A$2:$A$201,Directory_Output!$C$2:$C$201,"NOT FOUND")</f>
        <v/>
      </c>
      <c r="K20" s="4">
        <f>IF(I20=J20,"Match","MISMATCH")</f>
        <v/>
      </c>
      <c r="L20" s="4">
        <f>Provider_Source!I20</f>
        <v/>
      </c>
      <c r="M20" s="4">
        <f>XLOOKUP($A20,Directory_Output!$A$2:$A$201,Directory_Output!$I$2:$I$201,"NOT FOUND")</f>
        <v/>
      </c>
      <c r="N20" s="4">
        <f>IF(L20=M20,"Match","MISMATCH")</f>
        <v/>
      </c>
      <c r="O20" s="4">
        <f>Provider_Source!J20</f>
        <v/>
      </c>
      <c r="P20" s="4">
        <f>XLOOKUP($A20,Directory_Output!$A$2:$A$201,Directory_Output!$J$2:$J$201,"NOT FOUND")</f>
        <v/>
      </c>
      <c r="Q20" s="4">
        <f>IF(O20=P20,"Match","MISMATCH")</f>
        <v/>
      </c>
      <c r="R20" s="4">
        <f>COUNTIF(E20:Q20,"MISMATCH")</f>
        <v/>
      </c>
      <c r="S20" s="4">
        <f>IF(R20=0,"Clean","Needs Review")</f>
        <v/>
      </c>
    </row>
    <row r="21">
      <c r="A21" s="4">
        <f>Provider_Source!A21</f>
        <v/>
      </c>
      <c r="B21" s="4">
        <f>Provider_Source!B21</f>
        <v/>
      </c>
      <c r="C21" s="4">
        <f>Provider_Source!H21</f>
        <v/>
      </c>
      <c r="D21" s="4">
        <f>XLOOKUP($A21,Directory_Output!$A$2:$A$201,Directory_Output!$H$2:$H$201,"NOT FOUND")</f>
        <v/>
      </c>
      <c r="E21" s="4">
        <f>IF(C21=D21,"Match","MISMATCH")</f>
        <v/>
      </c>
      <c r="F21" s="4">
        <f>Provider_Source!D21</f>
        <v/>
      </c>
      <c r="G21" s="4">
        <f>XLOOKUP($A21,Directory_Output!$A$2:$A$201,Directory_Output!$D$2:$D$201,"NOT FOUND")</f>
        <v/>
      </c>
      <c r="H21" s="4">
        <f>IF(F21=G21,"Match","MISMATCH")</f>
        <v/>
      </c>
      <c r="I21" s="4">
        <f>Provider_Source!C21</f>
        <v/>
      </c>
      <c r="J21" s="4">
        <f>XLOOKUP($A21,Directory_Output!$A$2:$A$201,Directory_Output!$C$2:$C$201,"NOT FOUND")</f>
        <v/>
      </c>
      <c r="K21" s="4">
        <f>IF(I21=J21,"Match","MISMATCH")</f>
        <v/>
      </c>
      <c r="L21" s="4">
        <f>Provider_Source!I21</f>
        <v/>
      </c>
      <c r="M21" s="4">
        <f>XLOOKUP($A21,Directory_Output!$A$2:$A$201,Directory_Output!$I$2:$I$201,"NOT FOUND")</f>
        <v/>
      </c>
      <c r="N21" s="4">
        <f>IF(L21=M21,"Match","MISMATCH")</f>
        <v/>
      </c>
      <c r="O21" s="4">
        <f>Provider_Source!J21</f>
        <v/>
      </c>
      <c r="P21" s="4">
        <f>XLOOKUP($A21,Directory_Output!$A$2:$A$201,Directory_Output!$J$2:$J$201,"NOT FOUND")</f>
        <v/>
      </c>
      <c r="Q21" s="4">
        <f>IF(O21=P21,"Match","MISMATCH")</f>
        <v/>
      </c>
      <c r="R21" s="4">
        <f>COUNTIF(E21:Q21,"MISMATCH")</f>
        <v/>
      </c>
      <c r="S21" s="4">
        <f>IF(R21=0,"Clean","Needs Review")</f>
        <v/>
      </c>
    </row>
    <row r="22">
      <c r="A22" s="4">
        <f>Provider_Source!A22</f>
        <v/>
      </c>
      <c r="B22" s="4">
        <f>Provider_Source!B22</f>
        <v/>
      </c>
      <c r="C22" s="4">
        <f>Provider_Source!H22</f>
        <v/>
      </c>
      <c r="D22" s="4">
        <f>XLOOKUP($A22,Directory_Output!$A$2:$A$201,Directory_Output!$H$2:$H$201,"NOT FOUND")</f>
        <v/>
      </c>
      <c r="E22" s="4">
        <f>IF(C22=D22,"Match","MISMATCH")</f>
        <v/>
      </c>
      <c r="F22" s="4">
        <f>Provider_Source!D22</f>
        <v/>
      </c>
      <c r="G22" s="4">
        <f>XLOOKUP($A22,Directory_Output!$A$2:$A$201,Directory_Output!$D$2:$D$201,"NOT FOUND")</f>
        <v/>
      </c>
      <c r="H22" s="4">
        <f>IF(F22=G22,"Match","MISMATCH")</f>
        <v/>
      </c>
      <c r="I22" s="4">
        <f>Provider_Source!C22</f>
        <v/>
      </c>
      <c r="J22" s="4">
        <f>XLOOKUP($A22,Directory_Output!$A$2:$A$201,Directory_Output!$C$2:$C$201,"NOT FOUND")</f>
        <v/>
      </c>
      <c r="K22" s="4">
        <f>IF(I22=J22,"Match","MISMATCH")</f>
        <v/>
      </c>
      <c r="L22" s="4">
        <f>Provider_Source!I22</f>
        <v/>
      </c>
      <c r="M22" s="4">
        <f>XLOOKUP($A22,Directory_Output!$A$2:$A$201,Directory_Output!$I$2:$I$201,"NOT FOUND")</f>
        <v/>
      </c>
      <c r="N22" s="4">
        <f>IF(L22=M22,"Match","MISMATCH")</f>
        <v/>
      </c>
      <c r="O22" s="4">
        <f>Provider_Source!J22</f>
        <v/>
      </c>
      <c r="P22" s="4">
        <f>XLOOKUP($A22,Directory_Output!$A$2:$A$201,Directory_Output!$J$2:$J$201,"NOT FOUND")</f>
        <v/>
      </c>
      <c r="Q22" s="4">
        <f>IF(O22=P22,"Match","MISMATCH")</f>
        <v/>
      </c>
      <c r="R22" s="4">
        <f>COUNTIF(E22:Q22,"MISMATCH")</f>
        <v/>
      </c>
      <c r="S22" s="4">
        <f>IF(R22=0,"Clean","Needs Review")</f>
        <v/>
      </c>
    </row>
    <row r="23">
      <c r="A23" s="4">
        <f>Provider_Source!A23</f>
        <v/>
      </c>
      <c r="B23" s="4">
        <f>Provider_Source!B23</f>
        <v/>
      </c>
      <c r="C23" s="4">
        <f>Provider_Source!H23</f>
        <v/>
      </c>
      <c r="D23" s="4">
        <f>XLOOKUP($A23,Directory_Output!$A$2:$A$201,Directory_Output!$H$2:$H$201,"NOT FOUND")</f>
        <v/>
      </c>
      <c r="E23" s="4">
        <f>IF(C23=D23,"Match","MISMATCH")</f>
        <v/>
      </c>
      <c r="F23" s="4">
        <f>Provider_Source!D23</f>
        <v/>
      </c>
      <c r="G23" s="4">
        <f>XLOOKUP($A23,Directory_Output!$A$2:$A$201,Directory_Output!$D$2:$D$201,"NOT FOUND")</f>
        <v/>
      </c>
      <c r="H23" s="4">
        <f>IF(F23=G23,"Match","MISMATCH")</f>
        <v/>
      </c>
      <c r="I23" s="4">
        <f>Provider_Source!C23</f>
        <v/>
      </c>
      <c r="J23" s="4">
        <f>XLOOKUP($A23,Directory_Output!$A$2:$A$201,Directory_Output!$C$2:$C$201,"NOT FOUND")</f>
        <v/>
      </c>
      <c r="K23" s="4">
        <f>IF(I23=J23,"Match","MISMATCH")</f>
        <v/>
      </c>
      <c r="L23" s="4">
        <f>Provider_Source!I23</f>
        <v/>
      </c>
      <c r="M23" s="4">
        <f>XLOOKUP($A23,Directory_Output!$A$2:$A$201,Directory_Output!$I$2:$I$201,"NOT FOUND")</f>
        <v/>
      </c>
      <c r="N23" s="4">
        <f>IF(L23=M23,"Match","MISMATCH")</f>
        <v/>
      </c>
      <c r="O23" s="4">
        <f>Provider_Source!J23</f>
        <v/>
      </c>
      <c r="P23" s="4">
        <f>XLOOKUP($A23,Directory_Output!$A$2:$A$201,Directory_Output!$J$2:$J$201,"NOT FOUND")</f>
        <v/>
      </c>
      <c r="Q23" s="4">
        <f>IF(O23=P23,"Match","MISMATCH")</f>
        <v/>
      </c>
      <c r="R23" s="4">
        <f>COUNTIF(E23:Q23,"MISMATCH")</f>
        <v/>
      </c>
      <c r="S23" s="4">
        <f>IF(R23=0,"Clean","Needs Review")</f>
        <v/>
      </c>
    </row>
    <row r="24">
      <c r="A24" s="4">
        <f>Provider_Source!A24</f>
        <v/>
      </c>
      <c r="B24" s="4">
        <f>Provider_Source!B24</f>
        <v/>
      </c>
      <c r="C24" s="4">
        <f>Provider_Source!H24</f>
        <v/>
      </c>
      <c r="D24" s="4">
        <f>XLOOKUP($A24,Directory_Output!$A$2:$A$201,Directory_Output!$H$2:$H$201,"NOT FOUND")</f>
        <v/>
      </c>
      <c r="E24" s="4">
        <f>IF(C24=D24,"Match","MISMATCH")</f>
        <v/>
      </c>
      <c r="F24" s="4">
        <f>Provider_Source!D24</f>
        <v/>
      </c>
      <c r="G24" s="4">
        <f>XLOOKUP($A24,Directory_Output!$A$2:$A$201,Directory_Output!$D$2:$D$201,"NOT FOUND")</f>
        <v/>
      </c>
      <c r="H24" s="4">
        <f>IF(F24=G24,"Match","MISMATCH")</f>
        <v/>
      </c>
      <c r="I24" s="4">
        <f>Provider_Source!C24</f>
        <v/>
      </c>
      <c r="J24" s="4">
        <f>XLOOKUP($A24,Directory_Output!$A$2:$A$201,Directory_Output!$C$2:$C$201,"NOT FOUND")</f>
        <v/>
      </c>
      <c r="K24" s="4">
        <f>IF(I24=J24,"Match","MISMATCH")</f>
        <v/>
      </c>
      <c r="L24" s="4">
        <f>Provider_Source!I24</f>
        <v/>
      </c>
      <c r="M24" s="4">
        <f>XLOOKUP($A24,Directory_Output!$A$2:$A$201,Directory_Output!$I$2:$I$201,"NOT FOUND")</f>
        <v/>
      </c>
      <c r="N24" s="4">
        <f>IF(L24=M24,"Match","MISMATCH")</f>
        <v/>
      </c>
      <c r="O24" s="4">
        <f>Provider_Source!J24</f>
        <v/>
      </c>
      <c r="P24" s="4">
        <f>XLOOKUP($A24,Directory_Output!$A$2:$A$201,Directory_Output!$J$2:$J$201,"NOT FOUND")</f>
        <v/>
      </c>
      <c r="Q24" s="4">
        <f>IF(O24=P24,"Match","MISMATCH")</f>
        <v/>
      </c>
      <c r="R24" s="4">
        <f>COUNTIF(E24:Q24,"MISMATCH")</f>
        <v/>
      </c>
      <c r="S24" s="4">
        <f>IF(R24=0,"Clean","Needs Review")</f>
        <v/>
      </c>
    </row>
    <row r="25">
      <c r="A25" s="4">
        <f>Provider_Source!A25</f>
        <v/>
      </c>
      <c r="B25" s="4">
        <f>Provider_Source!B25</f>
        <v/>
      </c>
      <c r="C25" s="4">
        <f>Provider_Source!H25</f>
        <v/>
      </c>
      <c r="D25" s="4">
        <f>XLOOKUP($A25,Directory_Output!$A$2:$A$201,Directory_Output!$H$2:$H$201,"NOT FOUND")</f>
        <v/>
      </c>
      <c r="E25" s="4">
        <f>IF(C25=D25,"Match","MISMATCH")</f>
        <v/>
      </c>
      <c r="F25" s="4">
        <f>Provider_Source!D25</f>
        <v/>
      </c>
      <c r="G25" s="4">
        <f>XLOOKUP($A25,Directory_Output!$A$2:$A$201,Directory_Output!$D$2:$D$201,"NOT FOUND")</f>
        <v/>
      </c>
      <c r="H25" s="4">
        <f>IF(F25=G25,"Match","MISMATCH")</f>
        <v/>
      </c>
      <c r="I25" s="4">
        <f>Provider_Source!C25</f>
        <v/>
      </c>
      <c r="J25" s="4">
        <f>XLOOKUP($A25,Directory_Output!$A$2:$A$201,Directory_Output!$C$2:$C$201,"NOT FOUND")</f>
        <v/>
      </c>
      <c r="K25" s="4">
        <f>IF(I25=J25,"Match","MISMATCH")</f>
        <v/>
      </c>
      <c r="L25" s="4">
        <f>Provider_Source!I25</f>
        <v/>
      </c>
      <c r="M25" s="4">
        <f>XLOOKUP($A25,Directory_Output!$A$2:$A$201,Directory_Output!$I$2:$I$201,"NOT FOUND")</f>
        <v/>
      </c>
      <c r="N25" s="4">
        <f>IF(L25=M25,"Match","MISMATCH")</f>
        <v/>
      </c>
      <c r="O25" s="4">
        <f>Provider_Source!J25</f>
        <v/>
      </c>
      <c r="P25" s="4">
        <f>XLOOKUP($A25,Directory_Output!$A$2:$A$201,Directory_Output!$J$2:$J$201,"NOT FOUND")</f>
        <v/>
      </c>
      <c r="Q25" s="4">
        <f>IF(O25=P25,"Match","MISMATCH")</f>
        <v/>
      </c>
      <c r="R25" s="4">
        <f>COUNTIF(E25:Q25,"MISMATCH")</f>
        <v/>
      </c>
      <c r="S25" s="4">
        <f>IF(R25=0,"Clean","Needs Review")</f>
        <v/>
      </c>
    </row>
    <row r="26">
      <c r="A26" s="4">
        <f>Provider_Source!A26</f>
        <v/>
      </c>
      <c r="B26" s="4">
        <f>Provider_Source!B26</f>
        <v/>
      </c>
      <c r="C26" s="4">
        <f>Provider_Source!H26</f>
        <v/>
      </c>
      <c r="D26" s="4">
        <f>XLOOKUP($A26,Directory_Output!$A$2:$A$201,Directory_Output!$H$2:$H$201,"NOT FOUND")</f>
        <v/>
      </c>
      <c r="E26" s="4">
        <f>IF(C26=D26,"Match","MISMATCH")</f>
        <v/>
      </c>
      <c r="F26" s="4">
        <f>Provider_Source!D26</f>
        <v/>
      </c>
      <c r="G26" s="4">
        <f>XLOOKUP($A26,Directory_Output!$A$2:$A$201,Directory_Output!$D$2:$D$201,"NOT FOUND")</f>
        <v/>
      </c>
      <c r="H26" s="4">
        <f>IF(F26=G26,"Match","MISMATCH")</f>
        <v/>
      </c>
      <c r="I26" s="4">
        <f>Provider_Source!C26</f>
        <v/>
      </c>
      <c r="J26" s="4">
        <f>XLOOKUP($A26,Directory_Output!$A$2:$A$201,Directory_Output!$C$2:$C$201,"NOT FOUND")</f>
        <v/>
      </c>
      <c r="K26" s="4">
        <f>IF(I26=J26,"Match","MISMATCH")</f>
        <v/>
      </c>
      <c r="L26" s="4">
        <f>Provider_Source!I26</f>
        <v/>
      </c>
      <c r="M26" s="4">
        <f>XLOOKUP($A26,Directory_Output!$A$2:$A$201,Directory_Output!$I$2:$I$201,"NOT FOUND")</f>
        <v/>
      </c>
      <c r="N26" s="4">
        <f>IF(L26=M26,"Match","MISMATCH")</f>
        <v/>
      </c>
      <c r="O26" s="4">
        <f>Provider_Source!J26</f>
        <v/>
      </c>
      <c r="P26" s="4">
        <f>XLOOKUP($A26,Directory_Output!$A$2:$A$201,Directory_Output!$J$2:$J$201,"NOT FOUND")</f>
        <v/>
      </c>
      <c r="Q26" s="4">
        <f>IF(O26=P26,"Match","MISMATCH")</f>
        <v/>
      </c>
      <c r="R26" s="4">
        <f>COUNTIF(E26:Q26,"MISMATCH")</f>
        <v/>
      </c>
      <c r="S26" s="4">
        <f>IF(R26=0,"Clean","Needs Review")</f>
        <v/>
      </c>
    </row>
    <row r="27">
      <c r="A27" s="4">
        <f>Provider_Source!A27</f>
        <v/>
      </c>
      <c r="B27" s="4">
        <f>Provider_Source!B27</f>
        <v/>
      </c>
      <c r="C27" s="4">
        <f>Provider_Source!H27</f>
        <v/>
      </c>
      <c r="D27" s="4">
        <f>XLOOKUP($A27,Directory_Output!$A$2:$A$201,Directory_Output!$H$2:$H$201,"NOT FOUND")</f>
        <v/>
      </c>
      <c r="E27" s="4">
        <f>IF(C27=D27,"Match","MISMATCH")</f>
        <v/>
      </c>
      <c r="F27" s="4">
        <f>Provider_Source!D27</f>
        <v/>
      </c>
      <c r="G27" s="4">
        <f>XLOOKUP($A27,Directory_Output!$A$2:$A$201,Directory_Output!$D$2:$D$201,"NOT FOUND")</f>
        <v/>
      </c>
      <c r="H27" s="4">
        <f>IF(F27=G27,"Match","MISMATCH")</f>
        <v/>
      </c>
      <c r="I27" s="4">
        <f>Provider_Source!C27</f>
        <v/>
      </c>
      <c r="J27" s="4">
        <f>XLOOKUP($A27,Directory_Output!$A$2:$A$201,Directory_Output!$C$2:$C$201,"NOT FOUND")</f>
        <v/>
      </c>
      <c r="K27" s="4">
        <f>IF(I27=J27,"Match","MISMATCH")</f>
        <v/>
      </c>
      <c r="L27" s="4">
        <f>Provider_Source!I27</f>
        <v/>
      </c>
      <c r="M27" s="4">
        <f>XLOOKUP($A27,Directory_Output!$A$2:$A$201,Directory_Output!$I$2:$I$201,"NOT FOUND")</f>
        <v/>
      </c>
      <c r="N27" s="4">
        <f>IF(L27=M27,"Match","MISMATCH")</f>
        <v/>
      </c>
      <c r="O27" s="4">
        <f>Provider_Source!J27</f>
        <v/>
      </c>
      <c r="P27" s="4">
        <f>XLOOKUP($A27,Directory_Output!$A$2:$A$201,Directory_Output!$J$2:$J$201,"NOT FOUND")</f>
        <v/>
      </c>
      <c r="Q27" s="4">
        <f>IF(O27=P27,"Match","MISMATCH")</f>
        <v/>
      </c>
      <c r="R27" s="4">
        <f>COUNTIF(E27:Q27,"MISMATCH")</f>
        <v/>
      </c>
      <c r="S27" s="4">
        <f>IF(R27=0,"Clean","Needs Review")</f>
        <v/>
      </c>
    </row>
    <row r="28">
      <c r="A28" s="4">
        <f>Provider_Source!A28</f>
        <v/>
      </c>
      <c r="B28" s="4">
        <f>Provider_Source!B28</f>
        <v/>
      </c>
      <c r="C28" s="4">
        <f>Provider_Source!H28</f>
        <v/>
      </c>
      <c r="D28" s="4">
        <f>XLOOKUP($A28,Directory_Output!$A$2:$A$201,Directory_Output!$H$2:$H$201,"NOT FOUND")</f>
        <v/>
      </c>
      <c r="E28" s="4">
        <f>IF(C28=D28,"Match","MISMATCH")</f>
        <v/>
      </c>
      <c r="F28" s="4">
        <f>Provider_Source!D28</f>
        <v/>
      </c>
      <c r="G28" s="4">
        <f>XLOOKUP($A28,Directory_Output!$A$2:$A$201,Directory_Output!$D$2:$D$201,"NOT FOUND")</f>
        <v/>
      </c>
      <c r="H28" s="4">
        <f>IF(F28=G28,"Match","MISMATCH")</f>
        <v/>
      </c>
      <c r="I28" s="4">
        <f>Provider_Source!C28</f>
        <v/>
      </c>
      <c r="J28" s="4">
        <f>XLOOKUP($A28,Directory_Output!$A$2:$A$201,Directory_Output!$C$2:$C$201,"NOT FOUND")</f>
        <v/>
      </c>
      <c r="K28" s="4">
        <f>IF(I28=J28,"Match","MISMATCH")</f>
        <v/>
      </c>
      <c r="L28" s="4">
        <f>Provider_Source!I28</f>
        <v/>
      </c>
      <c r="M28" s="4">
        <f>XLOOKUP($A28,Directory_Output!$A$2:$A$201,Directory_Output!$I$2:$I$201,"NOT FOUND")</f>
        <v/>
      </c>
      <c r="N28" s="4">
        <f>IF(L28=M28,"Match","MISMATCH")</f>
        <v/>
      </c>
      <c r="O28" s="4">
        <f>Provider_Source!J28</f>
        <v/>
      </c>
      <c r="P28" s="4">
        <f>XLOOKUP($A28,Directory_Output!$A$2:$A$201,Directory_Output!$J$2:$J$201,"NOT FOUND")</f>
        <v/>
      </c>
      <c r="Q28" s="4">
        <f>IF(O28=P28,"Match","MISMATCH")</f>
        <v/>
      </c>
      <c r="R28" s="4">
        <f>COUNTIF(E28:Q28,"MISMATCH")</f>
        <v/>
      </c>
      <c r="S28" s="4">
        <f>IF(R28=0,"Clean","Needs Review")</f>
        <v/>
      </c>
    </row>
    <row r="29">
      <c r="A29" s="4">
        <f>Provider_Source!A29</f>
        <v/>
      </c>
      <c r="B29" s="4">
        <f>Provider_Source!B29</f>
        <v/>
      </c>
      <c r="C29" s="4">
        <f>Provider_Source!H29</f>
        <v/>
      </c>
      <c r="D29" s="4">
        <f>XLOOKUP($A29,Directory_Output!$A$2:$A$201,Directory_Output!$H$2:$H$201,"NOT FOUND")</f>
        <v/>
      </c>
      <c r="E29" s="4">
        <f>IF(C29=D29,"Match","MISMATCH")</f>
        <v/>
      </c>
      <c r="F29" s="4">
        <f>Provider_Source!D29</f>
        <v/>
      </c>
      <c r="G29" s="4">
        <f>XLOOKUP($A29,Directory_Output!$A$2:$A$201,Directory_Output!$D$2:$D$201,"NOT FOUND")</f>
        <v/>
      </c>
      <c r="H29" s="4">
        <f>IF(F29=G29,"Match","MISMATCH")</f>
        <v/>
      </c>
      <c r="I29" s="4">
        <f>Provider_Source!C29</f>
        <v/>
      </c>
      <c r="J29" s="4">
        <f>XLOOKUP($A29,Directory_Output!$A$2:$A$201,Directory_Output!$C$2:$C$201,"NOT FOUND")</f>
        <v/>
      </c>
      <c r="K29" s="4">
        <f>IF(I29=J29,"Match","MISMATCH")</f>
        <v/>
      </c>
      <c r="L29" s="4">
        <f>Provider_Source!I29</f>
        <v/>
      </c>
      <c r="M29" s="4">
        <f>XLOOKUP($A29,Directory_Output!$A$2:$A$201,Directory_Output!$I$2:$I$201,"NOT FOUND")</f>
        <v/>
      </c>
      <c r="N29" s="4">
        <f>IF(L29=M29,"Match","MISMATCH")</f>
        <v/>
      </c>
      <c r="O29" s="4">
        <f>Provider_Source!J29</f>
        <v/>
      </c>
      <c r="P29" s="4">
        <f>XLOOKUP($A29,Directory_Output!$A$2:$A$201,Directory_Output!$J$2:$J$201,"NOT FOUND")</f>
        <v/>
      </c>
      <c r="Q29" s="4">
        <f>IF(O29=P29,"Match","MISMATCH")</f>
        <v/>
      </c>
      <c r="R29" s="4">
        <f>COUNTIF(E29:Q29,"MISMATCH")</f>
        <v/>
      </c>
      <c r="S29" s="4">
        <f>IF(R29=0,"Clean","Needs Review")</f>
        <v/>
      </c>
    </row>
    <row r="30">
      <c r="A30" s="4">
        <f>Provider_Source!A30</f>
        <v/>
      </c>
      <c r="B30" s="4">
        <f>Provider_Source!B30</f>
        <v/>
      </c>
      <c r="C30" s="4">
        <f>Provider_Source!H30</f>
        <v/>
      </c>
      <c r="D30" s="4">
        <f>XLOOKUP($A30,Directory_Output!$A$2:$A$201,Directory_Output!$H$2:$H$201,"NOT FOUND")</f>
        <v/>
      </c>
      <c r="E30" s="4">
        <f>IF(C30=D30,"Match","MISMATCH")</f>
        <v/>
      </c>
      <c r="F30" s="4">
        <f>Provider_Source!D30</f>
        <v/>
      </c>
      <c r="G30" s="4">
        <f>XLOOKUP($A30,Directory_Output!$A$2:$A$201,Directory_Output!$D$2:$D$201,"NOT FOUND")</f>
        <v/>
      </c>
      <c r="H30" s="4">
        <f>IF(F30=G30,"Match","MISMATCH")</f>
        <v/>
      </c>
      <c r="I30" s="4">
        <f>Provider_Source!C30</f>
        <v/>
      </c>
      <c r="J30" s="4">
        <f>XLOOKUP($A30,Directory_Output!$A$2:$A$201,Directory_Output!$C$2:$C$201,"NOT FOUND")</f>
        <v/>
      </c>
      <c r="K30" s="4">
        <f>IF(I30=J30,"Match","MISMATCH")</f>
        <v/>
      </c>
      <c r="L30" s="4">
        <f>Provider_Source!I30</f>
        <v/>
      </c>
      <c r="M30" s="4">
        <f>XLOOKUP($A30,Directory_Output!$A$2:$A$201,Directory_Output!$I$2:$I$201,"NOT FOUND")</f>
        <v/>
      </c>
      <c r="N30" s="4">
        <f>IF(L30=M30,"Match","MISMATCH")</f>
        <v/>
      </c>
      <c r="O30" s="4">
        <f>Provider_Source!J30</f>
        <v/>
      </c>
      <c r="P30" s="4">
        <f>XLOOKUP($A30,Directory_Output!$A$2:$A$201,Directory_Output!$J$2:$J$201,"NOT FOUND")</f>
        <v/>
      </c>
      <c r="Q30" s="4">
        <f>IF(O30=P30,"Match","MISMATCH")</f>
        <v/>
      </c>
      <c r="R30" s="4">
        <f>COUNTIF(E30:Q30,"MISMATCH")</f>
        <v/>
      </c>
      <c r="S30" s="4">
        <f>IF(R30=0,"Clean","Needs Review")</f>
        <v/>
      </c>
    </row>
    <row r="31">
      <c r="A31" s="4">
        <f>Provider_Source!A31</f>
        <v/>
      </c>
      <c r="B31" s="4">
        <f>Provider_Source!B31</f>
        <v/>
      </c>
      <c r="C31" s="4">
        <f>Provider_Source!H31</f>
        <v/>
      </c>
      <c r="D31" s="4">
        <f>XLOOKUP($A31,Directory_Output!$A$2:$A$201,Directory_Output!$H$2:$H$201,"NOT FOUND")</f>
        <v/>
      </c>
      <c r="E31" s="4">
        <f>IF(C31=D31,"Match","MISMATCH")</f>
        <v/>
      </c>
      <c r="F31" s="4">
        <f>Provider_Source!D31</f>
        <v/>
      </c>
      <c r="G31" s="4">
        <f>XLOOKUP($A31,Directory_Output!$A$2:$A$201,Directory_Output!$D$2:$D$201,"NOT FOUND")</f>
        <v/>
      </c>
      <c r="H31" s="4">
        <f>IF(F31=G31,"Match","MISMATCH")</f>
        <v/>
      </c>
      <c r="I31" s="4">
        <f>Provider_Source!C31</f>
        <v/>
      </c>
      <c r="J31" s="4">
        <f>XLOOKUP($A31,Directory_Output!$A$2:$A$201,Directory_Output!$C$2:$C$201,"NOT FOUND")</f>
        <v/>
      </c>
      <c r="K31" s="4">
        <f>IF(I31=J31,"Match","MISMATCH")</f>
        <v/>
      </c>
      <c r="L31" s="4">
        <f>Provider_Source!I31</f>
        <v/>
      </c>
      <c r="M31" s="4">
        <f>XLOOKUP($A31,Directory_Output!$A$2:$A$201,Directory_Output!$I$2:$I$201,"NOT FOUND")</f>
        <v/>
      </c>
      <c r="N31" s="4">
        <f>IF(L31=M31,"Match","MISMATCH")</f>
        <v/>
      </c>
      <c r="O31" s="4">
        <f>Provider_Source!J31</f>
        <v/>
      </c>
      <c r="P31" s="4">
        <f>XLOOKUP($A31,Directory_Output!$A$2:$A$201,Directory_Output!$J$2:$J$201,"NOT FOUND")</f>
        <v/>
      </c>
      <c r="Q31" s="4">
        <f>IF(O31=P31,"Match","MISMATCH")</f>
        <v/>
      </c>
      <c r="R31" s="4">
        <f>COUNTIF(E31:Q31,"MISMATCH")</f>
        <v/>
      </c>
      <c r="S31" s="4">
        <f>IF(R31=0,"Clean","Needs Review")</f>
        <v/>
      </c>
    </row>
    <row r="32">
      <c r="A32" s="4">
        <f>Provider_Source!A32</f>
        <v/>
      </c>
      <c r="B32" s="4">
        <f>Provider_Source!B32</f>
        <v/>
      </c>
      <c r="C32" s="4">
        <f>Provider_Source!H32</f>
        <v/>
      </c>
      <c r="D32" s="4">
        <f>XLOOKUP($A32,Directory_Output!$A$2:$A$201,Directory_Output!$H$2:$H$201,"NOT FOUND")</f>
        <v/>
      </c>
      <c r="E32" s="4">
        <f>IF(C32=D32,"Match","MISMATCH")</f>
        <v/>
      </c>
      <c r="F32" s="4">
        <f>Provider_Source!D32</f>
        <v/>
      </c>
      <c r="G32" s="4">
        <f>XLOOKUP($A32,Directory_Output!$A$2:$A$201,Directory_Output!$D$2:$D$201,"NOT FOUND")</f>
        <v/>
      </c>
      <c r="H32" s="4">
        <f>IF(F32=G32,"Match","MISMATCH")</f>
        <v/>
      </c>
      <c r="I32" s="4">
        <f>Provider_Source!C32</f>
        <v/>
      </c>
      <c r="J32" s="4">
        <f>XLOOKUP($A32,Directory_Output!$A$2:$A$201,Directory_Output!$C$2:$C$201,"NOT FOUND")</f>
        <v/>
      </c>
      <c r="K32" s="4">
        <f>IF(I32=J32,"Match","MISMATCH")</f>
        <v/>
      </c>
      <c r="L32" s="4">
        <f>Provider_Source!I32</f>
        <v/>
      </c>
      <c r="M32" s="4">
        <f>XLOOKUP($A32,Directory_Output!$A$2:$A$201,Directory_Output!$I$2:$I$201,"NOT FOUND")</f>
        <v/>
      </c>
      <c r="N32" s="4">
        <f>IF(L32=M32,"Match","MISMATCH")</f>
        <v/>
      </c>
      <c r="O32" s="4">
        <f>Provider_Source!J32</f>
        <v/>
      </c>
      <c r="P32" s="4">
        <f>XLOOKUP($A32,Directory_Output!$A$2:$A$201,Directory_Output!$J$2:$J$201,"NOT FOUND")</f>
        <v/>
      </c>
      <c r="Q32" s="4">
        <f>IF(O32=P32,"Match","MISMATCH")</f>
        <v/>
      </c>
      <c r="R32" s="4">
        <f>COUNTIF(E32:Q32,"MISMATCH")</f>
        <v/>
      </c>
      <c r="S32" s="4">
        <f>IF(R32=0,"Clean","Needs Review")</f>
        <v/>
      </c>
    </row>
    <row r="33">
      <c r="A33" s="4">
        <f>Provider_Source!A33</f>
        <v/>
      </c>
      <c r="B33" s="4">
        <f>Provider_Source!B33</f>
        <v/>
      </c>
      <c r="C33" s="4">
        <f>Provider_Source!H33</f>
        <v/>
      </c>
      <c r="D33" s="4">
        <f>XLOOKUP($A33,Directory_Output!$A$2:$A$201,Directory_Output!$H$2:$H$201,"NOT FOUND")</f>
        <v/>
      </c>
      <c r="E33" s="4">
        <f>IF(C33=D33,"Match","MISMATCH")</f>
        <v/>
      </c>
      <c r="F33" s="4">
        <f>Provider_Source!D33</f>
        <v/>
      </c>
      <c r="G33" s="4">
        <f>XLOOKUP($A33,Directory_Output!$A$2:$A$201,Directory_Output!$D$2:$D$201,"NOT FOUND")</f>
        <v/>
      </c>
      <c r="H33" s="4">
        <f>IF(F33=G33,"Match","MISMATCH")</f>
        <v/>
      </c>
      <c r="I33" s="4">
        <f>Provider_Source!C33</f>
        <v/>
      </c>
      <c r="J33" s="4">
        <f>XLOOKUP($A33,Directory_Output!$A$2:$A$201,Directory_Output!$C$2:$C$201,"NOT FOUND")</f>
        <v/>
      </c>
      <c r="K33" s="4">
        <f>IF(I33=J33,"Match","MISMATCH")</f>
        <v/>
      </c>
      <c r="L33" s="4">
        <f>Provider_Source!I33</f>
        <v/>
      </c>
      <c r="M33" s="4">
        <f>XLOOKUP($A33,Directory_Output!$A$2:$A$201,Directory_Output!$I$2:$I$201,"NOT FOUND")</f>
        <v/>
      </c>
      <c r="N33" s="4">
        <f>IF(L33=M33,"Match","MISMATCH")</f>
        <v/>
      </c>
      <c r="O33" s="4">
        <f>Provider_Source!J33</f>
        <v/>
      </c>
      <c r="P33" s="4">
        <f>XLOOKUP($A33,Directory_Output!$A$2:$A$201,Directory_Output!$J$2:$J$201,"NOT FOUND")</f>
        <v/>
      </c>
      <c r="Q33" s="4">
        <f>IF(O33=P33,"Match","MISMATCH")</f>
        <v/>
      </c>
      <c r="R33" s="4">
        <f>COUNTIF(E33:Q33,"MISMATCH")</f>
        <v/>
      </c>
      <c r="S33" s="4">
        <f>IF(R33=0,"Clean","Needs Review")</f>
        <v/>
      </c>
    </row>
    <row r="34">
      <c r="A34" s="4">
        <f>Provider_Source!A34</f>
        <v/>
      </c>
      <c r="B34" s="4">
        <f>Provider_Source!B34</f>
        <v/>
      </c>
      <c r="C34" s="4">
        <f>Provider_Source!H34</f>
        <v/>
      </c>
      <c r="D34" s="4">
        <f>XLOOKUP($A34,Directory_Output!$A$2:$A$201,Directory_Output!$H$2:$H$201,"NOT FOUND")</f>
        <v/>
      </c>
      <c r="E34" s="4">
        <f>IF(C34=D34,"Match","MISMATCH")</f>
        <v/>
      </c>
      <c r="F34" s="4">
        <f>Provider_Source!D34</f>
        <v/>
      </c>
      <c r="G34" s="4">
        <f>XLOOKUP($A34,Directory_Output!$A$2:$A$201,Directory_Output!$D$2:$D$201,"NOT FOUND")</f>
        <v/>
      </c>
      <c r="H34" s="4">
        <f>IF(F34=G34,"Match","MISMATCH")</f>
        <v/>
      </c>
      <c r="I34" s="4">
        <f>Provider_Source!C34</f>
        <v/>
      </c>
      <c r="J34" s="4">
        <f>XLOOKUP($A34,Directory_Output!$A$2:$A$201,Directory_Output!$C$2:$C$201,"NOT FOUND")</f>
        <v/>
      </c>
      <c r="K34" s="4">
        <f>IF(I34=J34,"Match","MISMATCH")</f>
        <v/>
      </c>
      <c r="L34" s="4">
        <f>Provider_Source!I34</f>
        <v/>
      </c>
      <c r="M34" s="4">
        <f>XLOOKUP($A34,Directory_Output!$A$2:$A$201,Directory_Output!$I$2:$I$201,"NOT FOUND")</f>
        <v/>
      </c>
      <c r="N34" s="4">
        <f>IF(L34=M34,"Match","MISMATCH")</f>
        <v/>
      </c>
      <c r="O34" s="4">
        <f>Provider_Source!J34</f>
        <v/>
      </c>
      <c r="P34" s="4">
        <f>XLOOKUP($A34,Directory_Output!$A$2:$A$201,Directory_Output!$J$2:$J$201,"NOT FOUND")</f>
        <v/>
      </c>
      <c r="Q34" s="4">
        <f>IF(O34=P34,"Match","MISMATCH")</f>
        <v/>
      </c>
      <c r="R34" s="4">
        <f>COUNTIF(E34:Q34,"MISMATCH")</f>
        <v/>
      </c>
      <c r="S34" s="4">
        <f>IF(R34=0,"Clean","Needs Review")</f>
        <v/>
      </c>
    </row>
    <row r="35">
      <c r="A35" s="4">
        <f>Provider_Source!A35</f>
        <v/>
      </c>
      <c r="B35" s="4">
        <f>Provider_Source!B35</f>
        <v/>
      </c>
      <c r="C35" s="4">
        <f>Provider_Source!H35</f>
        <v/>
      </c>
      <c r="D35" s="4">
        <f>XLOOKUP($A35,Directory_Output!$A$2:$A$201,Directory_Output!$H$2:$H$201,"NOT FOUND")</f>
        <v/>
      </c>
      <c r="E35" s="4">
        <f>IF(C35=D35,"Match","MISMATCH")</f>
        <v/>
      </c>
      <c r="F35" s="4">
        <f>Provider_Source!D35</f>
        <v/>
      </c>
      <c r="G35" s="4">
        <f>XLOOKUP($A35,Directory_Output!$A$2:$A$201,Directory_Output!$D$2:$D$201,"NOT FOUND")</f>
        <v/>
      </c>
      <c r="H35" s="4">
        <f>IF(F35=G35,"Match","MISMATCH")</f>
        <v/>
      </c>
      <c r="I35" s="4">
        <f>Provider_Source!C35</f>
        <v/>
      </c>
      <c r="J35" s="4">
        <f>XLOOKUP($A35,Directory_Output!$A$2:$A$201,Directory_Output!$C$2:$C$201,"NOT FOUND")</f>
        <v/>
      </c>
      <c r="K35" s="4">
        <f>IF(I35=J35,"Match","MISMATCH")</f>
        <v/>
      </c>
      <c r="L35" s="4">
        <f>Provider_Source!I35</f>
        <v/>
      </c>
      <c r="M35" s="4">
        <f>XLOOKUP($A35,Directory_Output!$A$2:$A$201,Directory_Output!$I$2:$I$201,"NOT FOUND")</f>
        <v/>
      </c>
      <c r="N35" s="4">
        <f>IF(L35=M35,"Match","MISMATCH")</f>
        <v/>
      </c>
      <c r="O35" s="4">
        <f>Provider_Source!J35</f>
        <v/>
      </c>
      <c r="P35" s="4">
        <f>XLOOKUP($A35,Directory_Output!$A$2:$A$201,Directory_Output!$J$2:$J$201,"NOT FOUND")</f>
        <v/>
      </c>
      <c r="Q35" s="4">
        <f>IF(O35=P35,"Match","MISMATCH")</f>
        <v/>
      </c>
      <c r="R35" s="4">
        <f>COUNTIF(E35:Q35,"MISMATCH")</f>
        <v/>
      </c>
      <c r="S35" s="4">
        <f>IF(R35=0,"Clean","Needs Review")</f>
        <v/>
      </c>
    </row>
    <row r="36">
      <c r="A36" s="4">
        <f>Provider_Source!A36</f>
        <v/>
      </c>
      <c r="B36" s="4">
        <f>Provider_Source!B36</f>
        <v/>
      </c>
      <c r="C36" s="4">
        <f>Provider_Source!H36</f>
        <v/>
      </c>
      <c r="D36" s="4">
        <f>XLOOKUP($A36,Directory_Output!$A$2:$A$201,Directory_Output!$H$2:$H$201,"NOT FOUND")</f>
        <v/>
      </c>
      <c r="E36" s="4">
        <f>IF(C36=D36,"Match","MISMATCH")</f>
        <v/>
      </c>
      <c r="F36" s="4">
        <f>Provider_Source!D36</f>
        <v/>
      </c>
      <c r="G36" s="4">
        <f>XLOOKUP($A36,Directory_Output!$A$2:$A$201,Directory_Output!$D$2:$D$201,"NOT FOUND")</f>
        <v/>
      </c>
      <c r="H36" s="4">
        <f>IF(F36=G36,"Match","MISMATCH")</f>
        <v/>
      </c>
      <c r="I36" s="4">
        <f>Provider_Source!C36</f>
        <v/>
      </c>
      <c r="J36" s="4">
        <f>XLOOKUP($A36,Directory_Output!$A$2:$A$201,Directory_Output!$C$2:$C$201,"NOT FOUND")</f>
        <v/>
      </c>
      <c r="K36" s="4">
        <f>IF(I36=J36,"Match","MISMATCH")</f>
        <v/>
      </c>
      <c r="L36" s="4">
        <f>Provider_Source!I36</f>
        <v/>
      </c>
      <c r="M36" s="4">
        <f>XLOOKUP($A36,Directory_Output!$A$2:$A$201,Directory_Output!$I$2:$I$201,"NOT FOUND")</f>
        <v/>
      </c>
      <c r="N36" s="4">
        <f>IF(L36=M36,"Match","MISMATCH")</f>
        <v/>
      </c>
      <c r="O36" s="4">
        <f>Provider_Source!J36</f>
        <v/>
      </c>
      <c r="P36" s="4">
        <f>XLOOKUP($A36,Directory_Output!$A$2:$A$201,Directory_Output!$J$2:$J$201,"NOT FOUND")</f>
        <v/>
      </c>
      <c r="Q36" s="4">
        <f>IF(O36=P36,"Match","MISMATCH")</f>
        <v/>
      </c>
      <c r="R36" s="4">
        <f>COUNTIF(E36:Q36,"MISMATCH")</f>
        <v/>
      </c>
      <c r="S36" s="4">
        <f>IF(R36=0,"Clean","Needs Review")</f>
        <v/>
      </c>
    </row>
    <row r="37">
      <c r="A37" s="4">
        <f>Provider_Source!A37</f>
        <v/>
      </c>
      <c r="B37" s="4">
        <f>Provider_Source!B37</f>
        <v/>
      </c>
      <c r="C37" s="4">
        <f>Provider_Source!H37</f>
        <v/>
      </c>
      <c r="D37" s="4">
        <f>XLOOKUP($A37,Directory_Output!$A$2:$A$201,Directory_Output!$H$2:$H$201,"NOT FOUND")</f>
        <v/>
      </c>
      <c r="E37" s="4">
        <f>IF(C37=D37,"Match","MISMATCH")</f>
        <v/>
      </c>
      <c r="F37" s="4">
        <f>Provider_Source!D37</f>
        <v/>
      </c>
      <c r="G37" s="4">
        <f>XLOOKUP($A37,Directory_Output!$A$2:$A$201,Directory_Output!$D$2:$D$201,"NOT FOUND")</f>
        <v/>
      </c>
      <c r="H37" s="4">
        <f>IF(F37=G37,"Match","MISMATCH")</f>
        <v/>
      </c>
      <c r="I37" s="4">
        <f>Provider_Source!C37</f>
        <v/>
      </c>
      <c r="J37" s="4">
        <f>XLOOKUP($A37,Directory_Output!$A$2:$A$201,Directory_Output!$C$2:$C$201,"NOT FOUND")</f>
        <v/>
      </c>
      <c r="K37" s="4">
        <f>IF(I37=J37,"Match","MISMATCH")</f>
        <v/>
      </c>
      <c r="L37" s="4">
        <f>Provider_Source!I37</f>
        <v/>
      </c>
      <c r="M37" s="4">
        <f>XLOOKUP($A37,Directory_Output!$A$2:$A$201,Directory_Output!$I$2:$I$201,"NOT FOUND")</f>
        <v/>
      </c>
      <c r="N37" s="4">
        <f>IF(L37=M37,"Match","MISMATCH")</f>
        <v/>
      </c>
      <c r="O37" s="4">
        <f>Provider_Source!J37</f>
        <v/>
      </c>
      <c r="P37" s="4">
        <f>XLOOKUP($A37,Directory_Output!$A$2:$A$201,Directory_Output!$J$2:$J$201,"NOT FOUND")</f>
        <v/>
      </c>
      <c r="Q37" s="4">
        <f>IF(O37=P37,"Match","MISMATCH")</f>
        <v/>
      </c>
      <c r="R37" s="4">
        <f>COUNTIF(E37:Q37,"MISMATCH")</f>
        <v/>
      </c>
      <c r="S37" s="4">
        <f>IF(R37=0,"Clean","Needs Review")</f>
        <v/>
      </c>
    </row>
    <row r="38">
      <c r="A38" s="4">
        <f>Provider_Source!A38</f>
        <v/>
      </c>
      <c r="B38" s="4">
        <f>Provider_Source!B38</f>
        <v/>
      </c>
      <c r="C38" s="4">
        <f>Provider_Source!H38</f>
        <v/>
      </c>
      <c r="D38" s="4">
        <f>XLOOKUP($A38,Directory_Output!$A$2:$A$201,Directory_Output!$H$2:$H$201,"NOT FOUND")</f>
        <v/>
      </c>
      <c r="E38" s="4">
        <f>IF(C38=D38,"Match","MISMATCH")</f>
        <v/>
      </c>
      <c r="F38" s="4">
        <f>Provider_Source!D38</f>
        <v/>
      </c>
      <c r="G38" s="4">
        <f>XLOOKUP($A38,Directory_Output!$A$2:$A$201,Directory_Output!$D$2:$D$201,"NOT FOUND")</f>
        <v/>
      </c>
      <c r="H38" s="4">
        <f>IF(F38=G38,"Match","MISMATCH")</f>
        <v/>
      </c>
      <c r="I38" s="4">
        <f>Provider_Source!C38</f>
        <v/>
      </c>
      <c r="J38" s="4">
        <f>XLOOKUP($A38,Directory_Output!$A$2:$A$201,Directory_Output!$C$2:$C$201,"NOT FOUND")</f>
        <v/>
      </c>
      <c r="K38" s="4">
        <f>IF(I38=J38,"Match","MISMATCH")</f>
        <v/>
      </c>
      <c r="L38" s="4">
        <f>Provider_Source!I38</f>
        <v/>
      </c>
      <c r="M38" s="4">
        <f>XLOOKUP($A38,Directory_Output!$A$2:$A$201,Directory_Output!$I$2:$I$201,"NOT FOUND")</f>
        <v/>
      </c>
      <c r="N38" s="4">
        <f>IF(L38=M38,"Match","MISMATCH")</f>
        <v/>
      </c>
      <c r="O38" s="4">
        <f>Provider_Source!J38</f>
        <v/>
      </c>
      <c r="P38" s="4">
        <f>XLOOKUP($A38,Directory_Output!$A$2:$A$201,Directory_Output!$J$2:$J$201,"NOT FOUND")</f>
        <v/>
      </c>
      <c r="Q38" s="4">
        <f>IF(O38=P38,"Match","MISMATCH")</f>
        <v/>
      </c>
      <c r="R38" s="4">
        <f>COUNTIF(E38:Q38,"MISMATCH")</f>
        <v/>
      </c>
      <c r="S38" s="4">
        <f>IF(R38=0,"Clean","Needs Review")</f>
        <v/>
      </c>
    </row>
    <row r="39">
      <c r="A39" s="4">
        <f>Provider_Source!A39</f>
        <v/>
      </c>
      <c r="B39" s="4">
        <f>Provider_Source!B39</f>
        <v/>
      </c>
      <c r="C39" s="4">
        <f>Provider_Source!H39</f>
        <v/>
      </c>
      <c r="D39" s="4">
        <f>XLOOKUP($A39,Directory_Output!$A$2:$A$201,Directory_Output!$H$2:$H$201,"NOT FOUND")</f>
        <v/>
      </c>
      <c r="E39" s="4">
        <f>IF(C39=D39,"Match","MISMATCH")</f>
        <v/>
      </c>
      <c r="F39" s="4">
        <f>Provider_Source!D39</f>
        <v/>
      </c>
      <c r="G39" s="4">
        <f>XLOOKUP($A39,Directory_Output!$A$2:$A$201,Directory_Output!$D$2:$D$201,"NOT FOUND")</f>
        <v/>
      </c>
      <c r="H39" s="4">
        <f>IF(F39=G39,"Match","MISMATCH")</f>
        <v/>
      </c>
      <c r="I39" s="4">
        <f>Provider_Source!C39</f>
        <v/>
      </c>
      <c r="J39" s="4">
        <f>XLOOKUP($A39,Directory_Output!$A$2:$A$201,Directory_Output!$C$2:$C$201,"NOT FOUND")</f>
        <v/>
      </c>
      <c r="K39" s="4">
        <f>IF(I39=J39,"Match","MISMATCH")</f>
        <v/>
      </c>
      <c r="L39" s="4">
        <f>Provider_Source!I39</f>
        <v/>
      </c>
      <c r="M39" s="4">
        <f>XLOOKUP($A39,Directory_Output!$A$2:$A$201,Directory_Output!$I$2:$I$201,"NOT FOUND")</f>
        <v/>
      </c>
      <c r="N39" s="4">
        <f>IF(L39=M39,"Match","MISMATCH")</f>
        <v/>
      </c>
      <c r="O39" s="4">
        <f>Provider_Source!J39</f>
        <v/>
      </c>
      <c r="P39" s="4">
        <f>XLOOKUP($A39,Directory_Output!$A$2:$A$201,Directory_Output!$J$2:$J$201,"NOT FOUND")</f>
        <v/>
      </c>
      <c r="Q39" s="4">
        <f>IF(O39=P39,"Match","MISMATCH")</f>
        <v/>
      </c>
      <c r="R39" s="4">
        <f>COUNTIF(E39:Q39,"MISMATCH")</f>
        <v/>
      </c>
      <c r="S39" s="4">
        <f>IF(R39=0,"Clean","Needs Review")</f>
        <v/>
      </c>
    </row>
    <row r="40">
      <c r="A40" s="4">
        <f>Provider_Source!A40</f>
        <v/>
      </c>
      <c r="B40" s="4">
        <f>Provider_Source!B40</f>
        <v/>
      </c>
      <c r="C40" s="4">
        <f>Provider_Source!H40</f>
        <v/>
      </c>
      <c r="D40" s="4">
        <f>XLOOKUP($A40,Directory_Output!$A$2:$A$201,Directory_Output!$H$2:$H$201,"NOT FOUND")</f>
        <v/>
      </c>
      <c r="E40" s="4">
        <f>IF(C40=D40,"Match","MISMATCH")</f>
        <v/>
      </c>
      <c r="F40" s="4">
        <f>Provider_Source!D40</f>
        <v/>
      </c>
      <c r="G40" s="4">
        <f>XLOOKUP($A40,Directory_Output!$A$2:$A$201,Directory_Output!$D$2:$D$201,"NOT FOUND")</f>
        <v/>
      </c>
      <c r="H40" s="4">
        <f>IF(F40=G40,"Match","MISMATCH")</f>
        <v/>
      </c>
      <c r="I40" s="4">
        <f>Provider_Source!C40</f>
        <v/>
      </c>
      <c r="J40" s="4">
        <f>XLOOKUP($A40,Directory_Output!$A$2:$A$201,Directory_Output!$C$2:$C$201,"NOT FOUND")</f>
        <v/>
      </c>
      <c r="K40" s="4">
        <f>IF(I40=J40,"Match","MISMATCH")</f>
        <v/>
      </c>
      <c r="L40" s="4">
        <f>Provider_Source!I40</f>
        <v/>
      </c>
      <c r="M40" s="4">
        <f>XLOOKUP($A40,Directory_Output!$A$2:$A$201,Directory_Output!$I$2:$I$201,"NOT FOUND")</f>
        <v/>
      </c>
      <c r="N40" s="4">
        <f>IF(L40=M40,"Match","MISMATCH")</f>
        <v/>
      </c>
      <c r="O40" s="4">
        <f>Provider_Source!J40</f>
        <v/>
      </c>
      <c r="P40" s="4">
        <f>XLOOKUP($A40,Directory_Output!$A$2:$A$201,Directory_Output!$J$2:$J$201,"NOT FOUND")</f>
        <v/>
      </c>
      <c r="Q40" s="4">
        <f>IF(O40=P40,"Match","MISMATCH")</f>
        <v/>
      </c>
      <c r="R40" s="4">
        <f>COUNTIF(E40:Q40,"MISMATCH")</f>
        <v/>
      </c>
      <c r="S40" s="4">
        <f>IF(R40=0,"Clean","Needs Review")</f>
        <v/>
      </c>
    </row>
    <row r="41">
      <c r="A41" s="4">
        <f>Provider_Source!A41</f>
        <v/>
      </c>
      <c r="B41" s="4">
        <f>Provider_Source!B41</f>
        <v/>
      </c>
      <c r="C41" s="4">
        <f>Provider_Source!H41</f>
        <v/>
      </c>
      <c r="D41" s="4">
        <f>XLOOKUP($A41,Directory_Output!$A$2:$A$201,Directory_Output!$H$2:$H$201,"NOT FOUND")</f>
        <v/>
      </c>
      <c r="E41" s="4">
        <f>IF(C41=D41,"Match","MISMATCH")</f>
        <v/>
      </c>
      <c r="F41" s="4">
        <f>Provider_Source!D41</f>
        <v/>
      </c>
      <c r="G41" s="4">
        <f>XLOOKUP($A41,Directory_Output!$A$2:$A$201,Directory_Output!$D$2:$D$201,"NOT FOUND")</f>
        <v/>
      </c>
      <c r="H41" s="4">
        <f>IF(F41=G41,"Match","MISMATCH")</f>
        <v/>
      </c>
      <c r="I41" s="4">
        <f>Provider_Source!C41</f>
        <v/>
      </c>
      <c r="J41" s="4">
        <f>XLOOKUP($A41,Directory_Output!$A$2:$A$201,Directory_Output!$C$2:$C$201,"NOT FOUND")</f>
        <v/>
      </c>
      <c r="K41" s="4">
        <f>IF(I41=J41,"Match","MISMATCH")</f>
        <v/>
      </c>
      <c r="L41" s="4">
        <f>Provider_Source!I41</f>
        <v/>
      </c>
      <c r="M41" s="4">
        <f>XLOOKUP($A41,Directory_Output!$A$2:$A$201,Directory_Output!$I$2:$I$201,"NOT FOUND")</f>
        <v/>
      </c>
      <c r="N41" s="4">
        <f>IF(L41=M41,"Match","MISMATCH")</f>
        <v/>
      </c>
      <c r="O41" s="4">
        <f>Provider_Source!J41</f>
        <v/>
      </c>
      <c r="P41" s="4">
        <f>XLOOKUP($A41,Directory_Output!$A$2:$A$201,Directory_Output!$J$2:$J$201,"NOT FOUND")</f>
        <v/>
      </c>
      <c r="Q41" s="4">
        <f>IF(O41=P41,"Match","MISMATCH")</f>
        <v/>
      </c>
      <c r="R41" s="4">
        <f>COUNTIF(E41:Q41,"MISMATCH")</f>
        <v/>
      </c>
      <c r="S41" s="4">
        <f>IF(R41=0,"Clean","Needs Review")</f>
        <v/>
      </c>
    </row>
    <row r="42">
      <c r="A42" s="4">
        <f>Provider_Source!A42</f>
        <v/>
      </c>
      <c r="B42" s="4">
        <f>Provider_Source!B42</f>
        <v/>
      </c>
      <c r="C42" s="4">
        <f>Provider_Source!H42</f>
        <v/>
      </c>
      <c r="D42" s="4">
        <f>XLOOKUP($A42,Directory_Output!$A$2:$A$201,Directory_Output!$H$2:$H$201,"NOT FOUND")</f>
        <v/>
      </c>
      <c r="E42" s="4">
        <f>IF(C42=D42,"Match","MISMATCH")</f>
        <v/>
      </c>
      <c r="F42" s="4">
        <f>Provider_Source!D42</f>
        <v/>
      </c>
      <c r="G42" s="4">
        <f>XLOOKUP($A42,Directory_Output!$A$2:$A$201,Directory_Output!$D$2:$D$201,"NOT FOUND")</f>
        <v/>
      </c>
      <c r="H42" s="4">
        <f>IF(F42=G42,"Match","MISMATCH")</f>
        <v/>
      </c>
      <c r="I42" s="4">
        <f>Provider_Source!C42</f>
        <v/>
      </c>
      <c r="J42" s="4">
        <f>XLOOKUP($A42,Directory_Output!$A$2:$A$201,Directory_Output!$C$2:$C$201,"NOT FOUND")</f>
        <v/>
      </c>
      <c r="K42" s="4">
        <f>IF(I42=J42,"Match","MISMATCH")</f>
        <v/>
      </c>
      <c r="L42" s="4">
        <f>Provider_Source!I42</f>
        <v/>
      </c>
      <c r="M42" s="4">
        <f>XLOOKUP($A42,Directory_Output!$A$2:$A$201,Directory_Output!$I$2:$I$201,"NOT FOUND")</f>
        <v/>
      </c>
      <c r="N42" s="4">
        <f>IF(L42=M42,"Match","MISMATCH")</f>
        <v/>
      </c>
      <c r="O42" s="4">
        <f>Provider_Source!J42</f>
        <v/>
      </c>
      <c r="P42" s="4">
        <f>XLOOKUP($A42,Directory_Output!$A$2:$A$201,Directory_Output!$J$2:$J$201,"NOT FOUND")</f>
        <v/>
      </c>
      <c r="Q42" s="4">
        <f>IF(O42=P42,"Match","MISMATCH")</f>
        <v/>
      </c>
      <c r="R42" s="4">
        <f>COUNTIF(E42:Q42,"MISMATCH")</f>
        <v/>
      </c>
      <c r="S42" s="4">
        <f>IF(R42=0,"Clean","Needs Review")</f>
        <v/>
      </c>
    </row>
    <row r="43">
      <c r="A43" s="4">
        <f>Provider_Source!A43</f>
        <v/>
      </c>
      <c r="B43" s="4">
        <f>Provider_Source!B43</f>
        <v/>
      </c>
      <c r="C43" s="4">
        <f>Provider_Source!H43</f>
        <v/>
      </c>
      <c r="D43" s="4">
        <f>XLOOKUP($A43,Directory_Output!$A$2:$A$201,Directory_Output!$H$2:$H$201,"NOT FOUND")</f>
        <v/>
      </c>
      <c r="E43" s="4">
        <f>IF(C43=D43,"Match","MISMATCH")</f>
        <v/>
      </c>
      <c r="F43" s="4">
        <f>Provider_Source!D43</f>
        <v/>
      </c>
      <c r="G43" s="4">
        <f>XLOOKUP($A43,Directory_Output!$A$2:$A$201,Directory_Output!$D$2:$D$201,"NOT FOUND")</f>
        <v/>
      </c>
      <c r="H43" s="4">
        <f>IF(F43=G43,"Match","MISMATCH")</f>
        <v/>
      </c>
      <c r="I43" s="4">
        <f>Provider_Source!C43</f>
        <v/>
      </c>
      <c r="J43" s="4">
        <f>XLOOKUP($A43,Directory_Output!$A$2:$A$201,Directory_Output!$C$2:$C$201,"NOT FOUND")</f>
        <v/>
      </c>
      <c r="K43" s="4">
        <f>IF(I43=J43,"Match","MISMATCH")</f>
        <v/>
      </c>
      <c r="L43" s="4">
        <f>Provider_Source!I43</f>
        <v/>
      </c>
      <c r="M43" s="4">
        <f>XLOOKUP($A43,Directory_Output!$A$2:$A$201,Directory_Output!$I$2:$I$201,"NOT FOUND")</f>
        <v/>
      </c>
      <c r="N43" s="4">
        <f>IF(L43=M43,"Match","MISMATCH")</f>
        <v/>
      </c>
      <c r="O43" s="4">
        <f>Provider_Source!J43</f>
        <v/>
      </c>
      <c r="P43" s="4">
        <f>XLOOKUP($A43,Directory_Output!$A$2:$A$201,Directory_Output!$J$2:$J$201,"NOT FOUND")</f>
        <v/>
      </c>
      <c r="Q43" s="4">
        <f>IF(O43=P43,"Match","MISMATCH")</f>
        <v/>
      </c>
      <c r="R43" s="4">
        <f>COUNTIF(E43:Q43,"MISMATCH")</f>
        <v/>
      </c>
      <c r="S43" s="4">
        <f>IF(R43=0,"Clean","Needs Review")</f>
        <v/>
      </c>
    </row>
    <row r="44">
      <c r="A44" s="4">
        <f>Provider_Source!A44</f>
        <v/>
      </c>
      <c r="B44" s="4">
        <f>Provider_Source!B44</f>
        <v/>
      </c>
      <c r="C44" s="4">
        <f>Provider_Source!H44</f>
        <v/>
      </c>
      <c r="D44" s="4">
        <f>XLOOKUP($A44,Directory_Output!$A$2:$A$201,Directory_Output!$H$2:$H$201,"NOT FOUND")</f>
        <v/>
      </c>
      <c r="E44" s="4">
        <f>IF(C44=D44,"Match","MISMATCH")</f>
        <v/>
      </c>
      <c r="F44" s="4">
        <f>Provider_Source!D44</f>
        <v/>
      </c>
      <c r="G44" s="4">
        <f>XLOOKUP($A44,Directory_Output!$A$2:$A$201,Directory_Output!$D$2:$D$201,"NOT FOUND")</f>
        <v/>
      </c>
      <c r="H44" s="4">
        <f>IF(F44=G44,"Match","MISMATCH")</f>
        <v/>
      </c>
      <c r="I44" s="4">
        <f>Provider_Source!C44</f>
        <v/>
      </c>
      <c r="J44" s="4">
        <f>XLOOKUP($A44,Directory_Output!$A$2:$A$201,Directory_Output!$C$2:$C$201,"NOT FOUND")</f>
        <v/>
      </c>
      <c r="K44" s="4">
        <f>IF(I44=J44,"Match","MISMATCH")</f>
        <v/>
      </c>
      <c r="L44" s="4">
        <f>Provider_Source!I44</f>
        <v/>
      </c>
      <c r="M44" s="4">
        <f>XLOOKUP($A44,Directory_Output!$A$2:$A$201,Directory_Output!$I$2:$I$201,"NOT FOUND")</f>
        <v/>
      </c>
      <c r="N44" s="4">
        <f>IF(L44=M44,"Match","MISMATCH")</f>
        <v/>
      </c>
      <c r="O44" s="4">
        <f>Provider_Source!J44</f>
        <v/>
      </c>
      <c r="P44" s="4">
        <f>XLOOKUP($A44,Directory_Output!$A$2:$A$201,Directory_Output!$J$2:$J$201,"NOT FOUND")</f>
        <v/>
      </c>
      <c r="Q44" s="4">
        <f>IF(O44=P44,"Match","MISMATCH")</f>
        <v/>
      </c>
      <c r="R44" s="4">
        <f>COUNTIF(E44:Q44,"MISMATCH")</f>
        <v/>
      </c>
      <c r="S44" s="4">
        <f>IF(R44=0,"Clean","Needs Review")</f>
        <v/>
      </c>
    </row>
    <row r="45">
      <c r="A45" s="4">
        <f>Provider_Source!A45</f>
        <v/>
      </c>
      <c r="B45" s="4">
        <f>Provider_Source!B45</f>
        <v/>
      </c>
      <c r="C45" s="4">
        <f>Provider_Source!H45</f>
        <v/>
      </c>
      <c r="D45" s="4">
        <f>XLOOKUP($A45,Directory_Output!$A$2:$A$201,Directory_Output!$H$2:$H$201,"NOT FOUND")</f>
        <v/>
      </c>
      <c r="E45" s="4">
        <f>IF(C45=D45,"Match","MISMATCH")</f>
        <v/>
      </c>
      <c r="F45" s="4">
        <f>Provider_Source!D45</f>
        <v/>
      </c>
      <c r="G45" s="4">
        <f>XLOOKUP($A45,Directory_Output!$A$2:$A$201,Directory_Output!$D$2:$D$201,"NOT FOUND")</f>
        <v/>
      </c>
      <c r="H45" s="4">
        <f>IF(F45=G45,"Match","MISMATCH")</f>
        <v/>
      </c>
      <c r="I45" s="4">
        <f>Provider_Source!C45</f>
        <v/>
      </c>
      <c r="J45" s="4">
        <f>XLOOKUP($A45,Directory_Output!$A$2:$A$201,Directory_Output!$C$2:$C$201,"NOT FOUND")</f>
        <v/>
      </c>
      <c r="K45" s="4">
        <f>IF(I45=J45,"Match","MISMATCH")</f>
        <v/>
      </c>
      <c r="L45" s="4">
        <f>Provider_Source!I45</f>
        <v/>
      </c>
      <c r="M45" s="4">
        <f>XLOOKUP($A45,Directory_Output!$A$2:$A$201,Directory_Output!$I$2:$I$201,"NOT FOUND")</f>
        <v/>
      </c>
      <c r="N45" s="4">
        <f>IF(L45=M45,"Match","MISMATCH")</f>
        <v/>
      </c>
      <c r="O45" s="4">
        <f>Provider_Source!J45</f>
        <v/>
      </c>
      <c r="P45" s="4">
        <f>XLOOKUP($A45,Directory_Output!$A$2:$A$201,Directory_Output!$J$2:$J$201,"NOT FOUND")</f>
        <v/>
      </c>
      <c r="Q45" s="4">
        <f>IF(O45=P45,"Match","MISMATCH")</f>
        <v/>
      </c>
      <c r="R45" s="4">
        <f>COUNTIF(E45:Q45,"MISMATCH")</f>
        <v/>
      </c>
      <c r="S45" s="4">
        <f>IF(R45=0,"Clean","Needs Review")</f>
        <v/>
      </c>
    </row>
    <row r="46">
      <c r="A46" s="4">
        <f>Provider_Source!A46</f>
        <v/>
      </c>
      <c r="B46" s="4">
        <f>Provider_Source!B46</f>
        <v/>
      </c>
      <c r="C46" s="4">
        <f>Provider_Source!H46</f>
        <v/>
      </c>
      <c r="D46" s="4">
        <f>XLOOKUP($A46,Directory_Output!$A$2:$A$201,Directory_Output!$H$2:$H$201,"NOT FOUND")</f>
        <v/>
      </c>
      <c r="E46" s="4">
        <f>IF(C46=D46,"Match","MISMATCH")</f>
        <v/>
      </c>
      <c r="F46" s="4">
        <f>Provider_Source!D46</f>
        <v/>
      </c>
      <c r="G46" s="4">
        <f>XLOOKUP($A46,Directory_Output!$A$2:$A$201,Directory_Output!$D$2:$D$201,"NOT FOUND")</f>
        <v/>
      </c>
      <c r="H46" s="4">
        <f>IF(F46=G46,"Match","MISMATCH")</f>
        <v/>
      </c>
      <c r="I46" s="4">
        <f>Provider_Source!C46</f>
        <v/>
      </c>
      <c r="J46" s="4">
        <f>XLOOKUP($A46,Directory_Output!$A$2:$A$201,Directory_Output!$C$2:$C$201,"NOT FOUND")</f>
        <v/>
      </c>
      <c r="K46" s="4">
        <f>IF(I46=J46,"Match","MISMATCH")</f>
        <v/>
      </c>
      <c r="L46" s="4">
        <f>Provider_Source!I46</f>
        <v/>
      </c>
      <c r="M46" s="4">
        <f>XLOOKUP($A46,Directory_Output!$A$2:$A$201,Directory_Output!$I$2:$I$201,"NOT FOUND")</f>
        <v/>
      </c>
      <c r="N46" s="4">
        <f>IF(L46=M46,"Match","MISMATCH")</f>
        <v/>
      </c>
      <c r="O46" s="4">
        <f>Provider_Source!J46</f>
        <v/>
      </c>
      <c r="P46" s="4">
        <f>XLOOKUP($A46,Directory_Output!$A$2:$A$201,Directory_Output!$J$2:$J$201,"NOT FOUND")</f>
        <v/>
      </c>
      <c r="Q46" s="4">
        <f>IF(O46=P46,"Match","MISMATCH")</f>
        <v/>
      </c>
      <c r="R46" s="4">
        <f>COUNTIF(E46:Q46,"MISMATCH")</f>
        <v/>
      </c>
      <c r="S46" s="4">
        <f>IF(R46=0,"Clean","Needs Review")</f>
        <v/>
      </c>
    </row>
    <row r="47">
      <c r="A47" s="4">
        <f>Provider_Source!A47</f>
        <v/>
      </c>
      <c r="B47" s="4">
        <f>Provider_Source!B47</f>
        <v/>
      </c>
      <c r="C47" s="4">
        <f>Provider_Source!H47</f>
        <v/>
      </c>
      <c r="D47" s="4">
        <f>XLOOKUP($A47,Directory_Output!$A$2:$A$201,Directory_Output!$H$2:$H$201,"NOT FOUND")</f>
        <v/>
      </c>
      <c r="E47" s="4">
        <f>IF(C47=D47,"Match","MISMATCH")</f>
        <v/>
      </c>
      <c r="F47" s="4">
        <f>Provider_Source!D47</f>
        <v/>
      </c>
      <c r="G47" s="4">
        <f>XLOOKUP($A47,Directory_Output!$A$2:$A$201,Directory_Output!$D$2:$D$201,"NOT FOUND")</f>
        <v/>
      </c>
      <c r="H47" s="4">
        <f>IF(F47=G47,"Match","MISMATCH")</f>
        <v/>
      </c>
      <c r="I47" s="4">
        <f>Provider_Source!C47</f>
        <v/>
      </c>
      <c r="J47" s="4">
        <f>XLOOKUP($A47,Directory_Output!$A$2:$A$201,Directory_Output!$C$2:$C$201,"NOT FOUND")</f>
        <v/>
      </c>
      <c r="K47" s="4">
        <f>IF(I47=J47,"Match","MISMATCH")</f>
        <v/>
      </c>
      <c r="L47" s="4">
        <f>Provider_Source!I47</f>
        <v/>
      </c>
      <c r="M47" s="4">
        <f>XLOOKUP($A47,Directory_Output!$A$2:$A$201,Directory_Output!$I$2:$I$201,"NOT FOUND")</f>
        <v/>
      </c>
      <c r="N47" s="4">
        <f>IF(L47=M47,"Match","MISMATCH")</f>
        <v/>
      </c>
      <c r="O47" s="4">
        <f>Provider_Source!J47</f>
        <v/>
      </c>
      <c r="P47" s="4">
        <f>XLOOKUP($A47,Directory_Output!$A$2:$A$201,Directory_Output!$J$2:$J$201,"NOT FOUND")</f>
        <v/>
      </c>
      <c r="Q47" s="4">
        <f>IF(O47=P47,"Match","MISMATCH")</f>
        <v/>
      </c>
      <c r="R47" s="4">
        <f>COUNTIF(E47:Q47,"MISMATCH")</f>
        <v/>
      </c>
      <c r="S47" s="4">
        <f>IF(R47=0,"Clean","Needs Review")</f>
        <v/>
      </c>
    </row>
    <row r="48">
      <c r="A48" s="4">
        <f>Provider_Source!A48</f>
        <v/>
      </c>
      <c r="B48" s="4">
        <f>Provider_Source!B48</f>
        <v/>
      </c>
      <c r="C48" s="4">
        <f>Provider_Source!H48</f>
        <v/>
      </c>
      <c r="D48" s="4">
        <f>XLOOKUP($A48,Directory_Output!$A$2:$A$201,Directory_Output!$H$2:$H$201,"NOT FOUND")</f>
        <v/>
      </c>
      <c r="E48" s="4">
        <f>IF(C48=D48,"Match","MISMATCH")</f>
        <v/>
      </c>
      <c r="F48" s="4">
        <f>Provider_Source!D48</f>
        <v/>
      </c>
      <c r="G48" s="4">
        <f>XLOOKUP($A48,Directory_Output!$A$2:$A$201,Directory_Output!$D$2:$D$201,"NOT FOUND")</f>
        <v/>
      </c>
      <c r="H48" s="4">
        <f>IF(F48=G48,"Match","MISMATCH")</f>
        <v/>
      </c>
      <c r="I48" s="4">
        <f>Provider_Source!C48</f>
        <v/>
      </c>
      <c r="J48" s="4">
        <f>XLOOKUP($A48,Directory_Output!$A$2:$A$201,Directory_Output!$C$2:$C$201,"NOT FOUND")</f>
        <v/>
      </c>
      <c r="K48" s="4">
        <f>IF(I48=J48,"Match","MISMATCH")</f>
        <v/>
      </c>
      <c r="L48" s="4">
        <f>Provider_Source!I48</f>
        <v/>
      </c>
      <c r="M48" s="4">
        <f>XLOOKUP($A48,Directory_Output!$A$2:$A$201,Directory_Output!$I$2:$I$201,"NOT FOUND")</f>
        <v/>
      </c>
      <c r="N48" s="4">
        <f>IF(L48=M48,"Match","MISMATCH")</f>
        <v/>
      </c>
      <c r="O48" s="4">
        <f>Provider_Source!J48</f>
        <v/>
      </c>
      <c r="P48" s="4">
        <f>XLOOKUP($A48,Directory_Output!$A$2:$A$201,Directory_Output!$J$2:$J$201,"NOT FOUND")</f>
        <v/>
      </c>
      <c r="Q48" s="4">
        <f>IF(O48=P48,"Match","MISMATCH")</f>
        <v/>
      </c>
      <c r="R48" s="4">
        <f>COUNTIF(E48:Q48,"MISMATCH")</f>
        <v/>
      </c>
      <c r="S48" s="4">
        <f>IF(R48=0,"Clean","Needs Review")</f>
        <v/>
      </c>
    </row>
    <row r="49">
      <c r="A49" s="4">
        <f>Provider_Source!A49</f>
        <v/>
      </c>
      <c r="B49" s="4">
        <f>Provider_Source!B49</f>
        <v/>
      </c>
      <c r="C49" s="4">
        <f>Provider_Source!H49</f>
        <v/>
      </c>
      <c r="D49" s="4">
        <f>XLOOKUP($A49,Directory_Output!$A$2:$A$201,Directory_Output!$H$2:$H$201,"NOT FOUND")</f>
        <v/>
      </c>
      <c r="E49" s="4">
        <f>IF(C49=D49,"Match","MISMATCH")</f>
        <v/>
      </c>
      <c r="F49" s="4">
        <f>Provider_Source!D49</f>
        <v/>
      </c>
      <c r="G49" s="4">
        <f>XLOOKUP($A49,Directory_Output!$A$2:$A$201,Directory_Output!$D$2:$D$201,"NOT FOUND")</f>
        <v/>
      </c>
      <c r="H49" s="4">
        <f>IF(F49=G49,"Match","MISMATCH")</f>
        <v/>
      </c>
      <c r="I49" s="4">
        <f>Provider_Source!C49</f>
        <v/>
      </c>
      <c r="J49" s="4">
        <f>XLOOKUP($A49,Directory_Output!$A$2:$A$201,Directory_Output!$C$2:$C$201,"NOT FOUND")</f>
        <v/>
      </c>
      <c r="K49" s="4">
        <f>IF(I49=J49,"Match","MISMATCH")</f>
        <v/>
      </c>
      <c r="L49" s="4">
        <f>Provider_Source!I49</f>
        <v/>
      </c>
      <c r="M49" s="4">
        <f>XLOOKUP($A49,Directory_Output!$A$2:$A$201,Directory_Output!$I$2:$I$201,"NOT FOUND")</f>
        <v/>
      </c>
      <c r="N49" s="4">
        <f>IF(L49=M49,"Match","MISMATCH")</f>
        <v/>
      </c>
      <c r="O49" s="4">
        <f>Provider_Source!J49</f>
        <v/>
      </c>
      <c r="P49" s="4">
        <f>XLOOKUP($A49,Directory_Output!$A$2:$A$201,Directory_Output!$J$2:$J$201,"NOT FOUND")</f>
        <v/>
      </c>
      <c r="Q49" s="4">
        <f>IF(O49=P49,"Match","MISMATCH")</f>
        <v/>
      </c>
      <c r="R49" s="4">
        <f>COUNTIF(E49:Q49,"MISMATCH")</f>
        <v/>
      </c>
      <c r="S49" s="4">
        <f>IF(R49=0,"Clean","Needs Review")</f>
        <v/>
      </c>
    </row>
    <row r="50">
      <c r="A50" s="4">
        <f>Provider_Source!A50</f>
        <v/>
      </c>
      <c r="B50" s="4">
        <f>Provider_Source!B50</f>
        <v/>
      </c>
      <c r="C50" s="4">
        <f>Provider_Source!H50</f>
        <v/>
      </c>
      <c r="D50" s="4">
        <f>XLOOKUP($A50,Directory_Output!$A$2:$A$201,Directory_Output!$H$2:$H$201,"NOT FOUND")</f>
        <v/>
      </c>
      <c r="E50" s="4">
        <f>IF(C50=D50,"Match","MISMATCH")</f>
        <v/>
      </c>
      <c r="F50" s="4">
        <f>Provider_Source!D50</f>
        <v/>
      </c>
      <c r="G50" s="4">
        <f>XLOOKUP($A50,Directory_Output!$A$2:$A$201,Directory_Output!$D$2:$D$201,"NOT FOUND")</f>
        <v/>
      </c>
      <c r="H50" s="4">
        <f>IF(F50=G50,"Match","MISMATCH")</f>
        <v/>
      </c>
      <c r="I50" s="4">
        <f>Provider_Source!C50</f>
        <v/>
      </c>
      <c r="J50" s="4">
        <f>XLOOKUP($A50,Directory_Output!$A$2:$A$201,Directory_Output!$C$2:$C$201,"NOT FOUND")</f>
        <v/>
      </c>
      <c r="K50" s="4">
        <f>IF(I50=J50,"Match","MISMATCH")</f>
        <v/>
      </c>
      <c r="L50" s="4">
        <f>Provider_Source!I50</f>
        <v/>
      </c>
      <c r="M50" s="4">
        <f>XLOOKUP($A50,Directory_Output!$A$2:$A$201,Directory_Output!$I$2:$I$201,"NOT FOUND")</f>
        <v/>
      </c>
      <c r="N50" s="4">
        <f>IF(L50=M50,"Match","MISMATCH")</f>
        <v/>
      </c>
      <c r="O50" s="4">
        <f>Provider_Source!J50</f>
        <v/>
      </c>
      <c r="P50" s="4">
        <f>XLOOKUP($A50,Directory_Output!$A$2:$A$201,Directory_Output!$J$2:$J$201,"NOT FOUND")</f>
        <v/>
      </c>
      <c r="Q50" s="4">
        <f>IF(O50=P50,"Match","MISMATCH")</f>
        <v/>
      </c>
      <c r="R50" s="4">
        <f>COUNTIF(E50:Q50,"MISMATCH")</f>
        <v/>
      </c>
      <c r="S50" s="4">
        <f>IF(R50=0,"Clean","Needs Review")</f>
        <v/>
      </c>
    </row>
    <row r="51">
      <c r="A51" s="4">
        <f>Provider_Source!A51</f>
        <v/>
      </c>
      <c r="B51" s="4">
        <f>Provider_Source!B51</f>
        <v/>
      </c>
      <c r="C51" s="4">
        <f>Provider_Source!H51</f>
        <v/>
      </c>
      <c r="D51" s="4">
        <f>XLOOKUP($A51,Directory_Output!$A$2:$A$201,Directory_Output!$H$2:$H$201,"NOT FOUND")</f>
        <v/>
      </c>
      <c r="E51" s="4">
        <f>IF(C51=D51,"Match","MISMATCH")</f>
        <v/>
      </c>
      <c r="F51" s="4">
        <f>Provider_Source!D51</f>
        <v/>
      </c>
      <c r="G51" s="4">
        <f>XLOOKUP($A51,Directory_Output!$A$2:$A$201,Directory_Output!$D$2:$D$201,"NOT FOUND")</f>
        <v/>
      </c>
      <c r="H51" s="4">
        <f>IF(F51=G51,"Match","MISMATCH")</f>
        <v/>
      </c>
      <c r="I51" s="4">
        <f>Provider_Source!C51</f>
        <v/>
      </c>
      <c r="J51" s="4">
        <f>XLOOKUP($A51,Directory_Output!$A$2:$A$201,Directory_Output!$C$2:$C$201,"NOT FOUND")</f>
        <v/>
      </c>
      <c r="K51" s="4">
        <f>IF(I51=J51,"Match","MISMATCH")</f>
        <v/>
      </c>
      <c r="L51" s="4">
        <f>Provider_Source!I51</f>
        <v/>
      </c>
      <c r="M51" s="4">
        <f>XLOOKUP($A51,Directory_Output!$A$2:$A$201,Directory_Output!$I$2:$I$201,"NOT FOUND")</f>
        <v/>
      </c>
      <c r="N51" s="4">
        <f>IF(L51=M51,"Match","MISMATCH")</f>
        <v/>
      </c>
      <c r="O51" s="4">
        <f>Provider_Source!J51</f>
        <v/>
      </c>
      <c r="P51" s="4">
        <f>XLOOKUP($A51,Directory_Output!$A$2:$A$201,Directory_Output!$J$2:$J$201,"NOT FOUND")</f>
        <v/>
      </c>
      <c r="Q51" s="4">
        <f>IF(O51=P51,"Match","MISMATCH")</f>
        <v/>
      </c>
      <c r="R51" s="4">
        <f>COUNTIF(E51:Q51,"MISMATCH")</f>
        <v/>
      </c>
      <c r="S51" s="4">
        <f>IF(R51=0,"Clean","Needs Review")</f>
        <v/>
      </c>
    </row>
    <row r="52">
      <c r="A52" s="4">
        <f>Provider_Source!A52</f>
        <v/>
      </c>
      <c r="B52" s="4">
        <f>Provider_Source!B52</f>
        <v/>
      </c>
      <c r="C52" s="4">
        <f>Provider_Source!H52</f>
        <v/>
      </c>
      <c r="D52" s="4">
        <f>XLOOKUP($A52,Directory_Output!$A$2:$A$201,Directory_Output!$H$2:$H$201,"NOT FOUND")</f>
        <v/>
      </c>
      <c r="E52" s="4">
        <f>IF(C52=D52,"Match","MISMATCH")</f>
        <v/>
      </c>
      <c r="F52" s="4">
        <f>Provider_Source!D52</f>
        <v/>
      </c>
      <c r="G52" s="4">
        <f>XLOOKUP($A52,Directory_Output!$A$2:$A$201,Directory_Output!$D$2:$D$201,"NOT FOUND")</f>
        <v/>
      </c>
      <c r="H52" s="4">
        <f>IF(F52=G52,"Match","MISMATCH")</f>
        <v/>
      </c>
      <c r="I52" s="4">
        <f>Provider_Source!C52</f>
        <v/>
      </c>
      <c r="J52" s="4">
        <f>XLOOKUP($A52,Directory_Output!$A$2:$A$201,Directory_Output!$C$2:$C$201,"NOT FOUND")</f>
        <v/>
      </c>
      <c r="K52" s="4">
        <f>IF(I52=J52,"Match","MISMATCH")</f>
        <v/>
      </c>
      <c r="L52" s="4">
        <f>Provider_Source!I52</f>
        <v/>
      </c>
      <c r="M52" s="4">
        <f>XLOOKUP($A52,Directory_Output!$A$2:$A$201,Directory_Output!$I$2:$I$201,"NOT FOUND")</f>
        <v/>
      </c>
      <c r="N52" s="4">
        <f>IF(L52=M52,"Match","MISMATCH")</f>
        <v/>
      </c>
      <c r="O52" s="4">
        <f>Provider_Source!J52</f>
        <v/>
      </c>
      <c r="P52" s="4">
        <f>XLOOKUP($A52,Directory_Output!$A$2:$A$201,Directory_Output!$J$2:$J$201,"NOT FOUND")</f>
        <v/>
      </c>
      <c r="Q52" s="4">
        <f>IF(O52=P52,"Match","MISMATCH")</f>
        <v/>
      </c>
      <c r="R52" s="4">
        <f>COUNTIF(E52:Q52,"MISMATCH")</f>
        <v/>
      </c>
      <c r="S52" s="4">
        <f>IF(R52=0,"Clean","Needs Review")</f>
        <v/>
      </c>
    </row>
    <row r="53">
      <c r="A53" s="4">
        <f>Provider_Source!A53</f>
        <v/>
      </c>
      <c r="B53" s="4">
        <f>Provider_Source!B53</f>
        <v/>
      </c>
      <c r="C53" s="4">
        <f>Provider_Source!H53</f>
        <v/>
      </c>
      <c r="D53" s="4">
        <f>XLOOKUP($A53,Directory_Output!$A$2:$A$201,Directory_Output!$H$2:$H$201,"NOT FOUND")</f>
        <v/>
      </c>
      <c r="E53" s="4">
        <f>IF(C53=D53,"Match","MISMATCH")</f>
        <v/>
      </c>
      <c r="F53" s="4">
        <f>Provider_Source!D53</f>
        <v/>
      </c>
      <c r="G53" s="4">
        <f>XLOOKUP($A53,Directory_Output!$A$2:$A$201,Directory_Output!$D$2:$D$201,"NOT FOUND")</f>
        <v/>
      </c>
      <c r="H53" s="4">
        <f>IF(F53=G53,"Match","MISMATCH")</f>
        <v/>
      </c>
      <c r="I53" s="4">
        <f>Provider_Source!C53</f>
        <v/>
      </c>
      <c r="J53" s="4">
        <f>XLOOKUP($A53,Directory_Output!$A$2:$A$201,Directory_Output!$C$2:$C$201,"NOT FOUND")</f>
        <v/>
      </c>
      <c r="K53" s="4">
        <f>IF(I53=J53,"Match","MISMATCH")</f>
        <v/>
      </c>
      <c r="L53" s="4">
        <f>Provider_Source!I53</f>
        <v/>
      </c>
      <c r="M53" s="4">
        <f>XLOOKUP($A53,Directory_Output!$A$2:$A$201,Directory_Output!$I$2:$I$201,"NOT FOUND")</f>
        <v/>
      </c>
      <c r="N53" s="4">
        <f>IF(L53=M53,"Match","MISMATCH")</f>
        <v/>
      </c>
      <c r="O53" s="4">
        <f>Provider_Source!J53</f>
        <v/>
      </c>
      <c r="P53" s="4">
        <f>XLOOKUP($A53,Directory_Output!$A$2:$A$201,Directory_Output!$J$2:$J$201,"NOT FOUND")</f>
        <v/>
      </c>
      <c r="Q53" s="4">
        <f>IF(O53=P53,"Match","MISMATCH")</f>
        <v/>
      </c>
      <c r="R53" s="4">
        <f>COUNTIF(E53:Q53,"MISMATCH")</f>
        <v/>
      </c>
      <c r="S53" s="4">
        <f>IF(R53=0,"Clean","Needs Review")</f>
        <v/>
      </c>
    </row>
    <row r="54">
      <c r="A54" s="4">
        <f>Provider_Source!A54</f>
        <v/>
      </c>
      <c r="B54" s="4">
        <f>Provider_Source!B54</f>
        <v/>
      </c>
      <c r="C54" s="4">
        <f>Provider_Source!H54</f>
        <v/>
      </c>
      <c r="D54" s="4">
        <f>XLOOKUP($A54,Directory_Output!$A$2:$A$201,Directory_Output!$H$2:$H$201,"NOT FOUND")</f>
        <v/>
      </c>
      <c r="E54" s="4">
        <f>IF(C54=D54,"Match","MISMATCH")</f>
        <v/>
      </c>
      <c r="F54" s="4">
        <f>Provider_Source!D54</f>
        <v/>
      </c>
      <c r="G54" s="4">
        <f>XLOOKUP($A54,Directory_Output!$A$2:$A$201,Directory_Output!$D$2:$D$201,"NOT FOUND")</f>
        <v/>
      </c>
      <c r="H54" s="4">
        <f>IF(F54=G54,"Match","MISMATCH")</f>
        <v/>
      </c>
      <c r="I54" s="4">
        <f>Provider_Source!C54</f>
        <v/>
      </c>
      <c r="J54" s="4">
        <f>XLOOKUP($A54,Directory_Output!$A$2:$A$201,Directory_Output!$C$2:$C$201,"NOT FOUND")</f>
        <v/>
      </c>
      <c r="K54" s="4">
        <f>IF(I54=J54,"Match","MISMATCH")</f>
        <v/>
      </c>
      <c r="L54" s="4">
        <f>Provider_Source!I54</f>
        <v/>
      </c>
      <c r="M54" s="4">
        <f>XLOOKUP($A54,Directory_Output!$A$2:$A$201,Directory_Output!$I$2:$I$201,"NOT FOUND")</f>
        <v/>
      </c>
      <c r="N54" s="4">
        <f>IF(L54=M54,"Match","MISMATCH")</f>
        <v/>
      </c>
      <c r="O54" s="4">
        <f>Provider_Source!J54</f>
        <v/>
      </c>
      <c r="P54" s="4">
        <f>XLOOKUP($A54,Directory_Output!$A$2:$A$201,Directory_Output!$J$2:$J$201,"NOT FOUND")</f>
        <v/>
      </c>
      <c r="Q54" s="4">
        <f>IF(O54=P54,"Match","MISMATCH")</f>
        <v/>
      </c>
      <c r="R54" s="4">
        <f>COUNTIF(E54:Q54,"MISMATCH")</f>
        <v/>
      </c>
      <c r="S54" s="4">
        <f>IF(R54=0,"Clean","Needs Review")</f>
        <v/>
      </c>
    </row>
    <row r="55">
      <c r="A55" s="4">
        <f>Provider_Source!A55</f>
        <v/>
      </c>
      <c r="B55" s="4">
        <f>Provider_Source!B55</f>
        <v/>
      </c>
      <c r="C55" s="4">
        <f>Provider_Source!H55</f>
        <v/>
      </c>
      <c r="D55" s="4">
        <f>XLOOKUP($A55,Directory_Output!$A$2:$A$201,Directory_Output!$H$2:$H$201,"NOT FOUND")</f>
        <v/>
      </c>
      <c r="E55" s="4">
        <f>IF(C55=D55,"Match","MISMATCH")</f>
        <v/>
      </c>
      <c r="F55" s="4">
        <f>Provider_Source!D55</f>
        <v/>
      </c>
      <c r="G55" s="4">
        <f>XLOOKUP($A55,Directory_Output!$A$2:$A$201,Directory_Output!$D$2:$D$201,"NOT FOUND")</f>
        <v/>
      </c>
      <c r="H55" s="4">
        <f>IF(F55=G55,"Match","MISMATCH")</f>
        <v/>
      </c>
      <c r="I55" s="4">
        <f>Provider_Source!C55</f>
        <v/>
      </c>
      <c r="J55" s="4">
        <f>XLOOKUP($A55,Directory_Output!$A$2:$A$201,Directory_Output!$C$2:$C$201,"NOT FOUND")</f>
        <v/>
      </c>
      <c r="K55" s="4">
        <f>IF(I55=J55,"Match","MISMATCH")</f>
        <v/>
      </c>
      <c r="L55" s="4">
        <f>Provider_Source!I55</f>
        <v/>
      </c>
      <c r="M55" s="4">
        <f>XLOOKUP($A55,Directory_Output!$A$2:$A$201,Directory_Output!$I$2:$I$201,"NOT FOUND")</f>
        <v/>
      </c>
      <c r="N55" s="4">
        <f>IF(L55=M55,"Match","MISMATCH")</f>
        <v/>
      </c>
      <c r="O55" s="4">
        <f>Provider_Source!J55</f>
        <v/>
      </c>
      <c r="P55" s="4">
        <f>XLOOKUP($A55,Directory_Output!$A$2:$A$201,Directory_Output!$J$2:$J$201,"NOT FOUND")</f>
        <v/>
      </c>
      <c r="Q55" s="4">
        <f>IF(O55=P55,"Match","MISMATCH")</f>
        <v/>
      </c>
      <c r="R55" s="4">
        <f>COUNTIF(E55:Q55,"MISMATCH")</f>
        <v/>
      </c>
      <c r="S55" s="4">
        <f>IF(R55=0,"Clean","Needs Review")</f>
        <v/>
      </c>
    </row>
    <row r="56">
      <c r="A56" s="4">
        <f>Provider_Source!A56</f>
        <v/>
      </c>
      <c r="B56" s="4">
        <f>Provider_Source!B56</f>
        <v/>
      </c>
      <c r="C56" s="4">
        <f>Provider_Source!H56</f>
        <v/>
      </c>
      <c r="D56" s="4">
        <f>XLOOKUP($A56,Directory_Output!$A$2:$A$201,Directory_Output!$H$2:$H$201,"NOT FOUND")</f>
        <v/>
      </c>
      <c r="E56" s="4">
        <f>IF(C56=D56,"Match","MISMATCH")</f>
        <v/>
      </c>
      <c r="F56" s="4">
        <f>Provider_Source!D56</f>
        <v/>
      </c>
      <c r="G56" s="4">
        <f>XLOOKUP($A56,Directory_Output!$A$2:$A$201,Directory_Output!$D$2:$D$201,"NOT FOUND")</f>
        <v/>
      </c>
      <c r="H56" s="4">
        <f>IF(F56=G56,"Match","MISMATCH")</f>
        <v/>
      </c>
      <c r="I56" s="4">
        <f>Provider_Source!C56</f>
        <v/>
      </c>
      <c r="J56" s="4">
        <f>XLOOKUP($A56,Directory_Output!$A$2:$A$201,Directory_Output!$C$2:$C$201,"NOT FOUND")</f>
        <v/>
      </c>
      <c r="K56" s="4">
        <f>IF(I56=J56,"Match","MISMATCH")</f>
        <v/>
      </c>
      <c r="L56" s="4">
        <f>Provider_Source!I56</f>
        <v/>
      </c>
      <c r="M56" s="4">
        <f>XLOOKUP($A56,Directory_Output!$A$2:$A$201,Directory_Output!$I$2:$I$201,"NOT FOUND")</f>
        <v/>
      </c>
      <c r="N56" s="4">
        <f>IF(L56=M56,"Match","MISMATCH")</f>
        <v/>
      </c>
      <c r="O56" s="4">
        <f>Provider_Source!J56</f>
        <v/>
      </c>
      <c r="P56" s="4">
        <f>XLOOKUP($A56,Directory_Output!$A$2:$A$201,Directory_Output!$J$2:$J$201,"NOT FOUND")</f>
        <v/>
      </c>
      <c r="Q56" s="4">
        <f>IF(O56=P56,"Match","MISMATCH")</f>
        <v/>
      </c>
      <c r="R56" s="4">
        <f>COUNTIF(E56:Q56,"MISMATCH")</f>
        <v/>
      </c>
      <c r="S56" s="4">
        <f>IF(R56=0,"Clean","Needs Review")</f>
        <v/>
      </c>
    </row>
    <row r="57">
      <c r="A57" s="4">
        <f>Provider_Source!A57</f>
        <v/>
      </c>
      <c r="B57" s="4">
        <f>Provider_Source!B57</f>
        <v/>
      </c>
      <c r="C57" s="4">
        <f>Provider_Source!H57</f>
        <v/>
      </c>
      <c r="D57" s="4">
        <f>XLOOKUP($A57,Directory_Output!$A$2:$A$201,Directory_Output!$H$2:$H$201,"NOT FOUND")</f>
        <v/>
      </c>
      <c r="E57" s="4">
        <f>IF(C57=D57,"Match","MISMATCH")</f>
        <v/>
      </c>
      <c r="F57" s="4">
        <f>Provider_Source!D57</f>
        <v/>
      </c>
      <c r="G57" s="4">
        <f>XLOOKUP($A57,Directory_Output!$A$2:$A$201,Directory_Output!$D$2:$D$201,"NOT FOUND")</f>
        <v/>
      </c>
      <c r="H57" s="4">
        <f>IF(F57=G57,"Match","MISMATCH")</f>
        <v/>
      </c>
      <c r="I57" s="4">
        <f>Provider_Source!C57</f>
        <v/>
      </c>
      <c r="J57" s="4">
        <f>XLOOKUP($A57,Directory_Output!$A$2:$A$201,Directory_Output!$C$2:$C$201,"NOT FOUND")</f>
        <v/>
      </c>
      <c r="K57" s="4">
        <f>IF(I57=J57,"Match","MISMATCH")</f>
        <v/>
      </c>
      <c r="L57" s="4">
        <f>Provider_Source!I57</f>
        <v/>
      </c>
      <c r="M57" s="4">
        <f>XLOOKUP($A57,Directory_Output!$A$2:$A$201,Directory_Output!$I$2:$I$201,"NOT FOUND")</f>
        <v/>
      </c>
      <c r="N57" s="4">
        <f>IF(L57=M57,"Match","MISMATCH")</f>
        <v/>
      </c>
      <c r="O57" s="4">
        <f>Provider_Source!J57</f>
        <v/>
      </c>
      <c r="P57" s="4">
        <f>XLOOKUP($A57,Directory_Output!$A$2:$A$201,Directory_Output!$J$2:$J$201,"NOT FOUND")</f>
        <v/>
      </c>
      <c r="Q57" s="4">
        <f>IF(O57=P57,"Match","MISMATCH")</f>
        <v/>
      </c>
      <c r="R57" s="4">
        <f>COUNTIF(E57:Q57,"MISMATCH")</f>
        <v/>
      </c>
      <c r="S57" s="4">
        <f>IF(R57=0,"Clean","Needs Review")</f>
        <v/>
      </c>
    </row>
    <row r="58">
      <c r="A58" s="4">
        <f>Provider_Source!A58</f>
        <v/>
      </c>
      <c r="B58" s="4">
        <f>Provider_Source!B58</f>
        <v/>
      </c>
      <c r="C58" s="4">
        <f>Provider_Source!H58</f>
        <v/>
      </c>
      <c r="D58" s="4">
        <f>XLOOKUP($A58,Directory_Output!$A$2:$A$201,Directory_Output!$H$2:$H$201,"NOT FOUND")</f>
        <v/>
      </c>
      <c r="E58" s="4">
        <f>IF(C58=D58,"Match","MISMATCH")</f>
        <v/>
      </c>
      <c r="F58" s="4">
        <f>Provider_Source!D58</f>
        <v/>
      </c>
      <c r="G58" s="4">
        <f>XLOOKUP($A58,Directory_Output!$A$2:$A$201,Directory_Output!$D$2:$D$201,"NOT FOUND")</f>
        <v/>
      </c>
      <c r="H58" s="4">
        <f>IF(F58=G58,"Match","MISMATCH")</f>
        <v/>
      </c>
      <c r="I58" s="4">
        <f>Provider_Source!C58</f>
        <v/>
      </c>
      <c r="J58" s="4">
        <f>XLOOKUP($A58,Directory_Output!$A$2:$A$201,Directory_Output!$C$2:$C$201,"NOT FOUND")</f>
        <v/>
      </c>
      <c r="K58" s="4">
        <f>IF(I58=J58,"Match","MISMATCH")</f>
        <v/>
      </c>
      <c r="L58" s="4">
        <f>Provider_Source!I58</f>
        <v/>
      </c>
      <c r="M58" s="4">
        <f>XLOOKUP($A58,Directory_Output!$A$2:$A$201,Directory_Output!$I$2:$I$201,"NOT FOUND")</f>
        <v/>
      </c>
      <c r="N58" s="4">
        <f>IF(L58=M58,"Match","MISMATCH")</f>
        <v/>
      </c>
      <c r="O58" s="4">
        <f>Provider_Source!J58</f>
        <v/>
      </c>
      <c r="P58" s="4">
        <f>XLOOKUP($A58,Directory_Output!$A$2:$A$201,Directory_Output!$J$2:$J$201,"NOT FOUND")</f>
        <v/>
      </c>
      <c r="Q58" s="4">
        <f>IF(O58=P58,"Match","MISMATCH")</f>
        <v/>
      </c>
      <c r="R58" s="4">
        <f>COUNTIF(E58:Q58,"MISMATCH")</f>
        <v/>
      </c>
      <c r="S58" s="4">
        <f>IF(R58=0,"Clean","Needs Review")</f>
        <v/>
      </c>
    </row>
    <row r="59">
      <c r="A59" s="4">
        <f>Provider_Source!A59</f>
        <v/>
      </c>
      <c r="B59" s="4">
        <f>Provider_Source!B59</f>
        <v/>
      </c>
      <c r="C59" s="4">
        <f>Provider_Source!H59</f>
        <v/>
      </c>
      <c r="D59" s="4">
        <f>XLOOKUP($A59,Directory_Output!$A$2:$A$201,Directory_Output!$H$2:$H$201,"NOT FOUND")</f>
        <v/>
      </c>
      <c r="E59" s="4">
        <f>IF(C59=D59,"Match","MISMATCH")</f>
        <v/>
      </c>
      <c r="F59" s="4">
        <f>Provider_Source!D59</f>
        <v/>
      </c>
      <c r="G59" s="4">
        <f>XLOOKUP($A59,Directory_Output!$A$2:$A$201,Directory_Output!$D$2:$D$201,"NOT FOUND")</f>
        <v/>
      </c>
      <c r="H59" s="4">
        <f>IF(F59=G59,"Match","MISMATCH")</f>
        <v/>
      </c>
      <c r="I59" s="4">
        <f>Provider_Source!C59</f>
        <v/>
      </c>
      <c r="J59" s="4">
        <f>XLOOKUP($A59,Directory_Output!$A$2:$A$201,Directory_Output!$C$2:$C$201,"NOT FOUND")</f>
        <v/>
      </c>
      <c r="K59" s="4">
        <f>IF(I59=J59,"Match","MISMATCH")</f>
        <v/>
      </c>
      <c r="L59" s="4">
        <f>Provider_Source!I59</f>
        <v/>
      </c>
      <c r="M59" s="4">
        <f>XLOOKUP($A59,Directory_Output!$A$2:$A$201,Directory_Output!$I$2:$I$201,"NOT FOUND")</f>
        <v/>
      </c>
      <c r="N59" s="4">
        <f>IF(L59=M59,"Match","MISMATCH")</f>
        <v/>
      </c>
      <c r="O59" s="4">
        <f>Provider_Source!J59</f>
        <v/>
      </c>
      <c r="P59" s="4">
        <f>XLOOKUP($A59,Directory_Output!$A$2:$A$201,Directory_Output!$J$2:$J$201,"NOT FOUND")</f>
        <v/>
      </c>
      <c r="Q59" s="4">
        <f>IF(O59=P59,"Match","MISMATCH")</f>
        <v/>
      </c>
      <c r="R59" s="4">
        <f>COUNTIF(E59:Q59,"MISMATCH")</f>
        <v/>
      </c>
      <c r="S59" s="4">
        <f>IF(R59=0,"Clean","Needs Review")</f>
        <v/>
      </c>
    </row>
    <row r="60">
      <c r="A60" s="4">
        <f>Provider_Source!A60</f>
        <v/>
      </c>
      <c r="B60" s="4">
        <f>Provider_Source!B60</f>
        <v/>
      </c>
      <c r="C60" s="4">
        <f>Provider_Source!H60</f>
        <v/>
      </c>
      <c r="D60" s="4">
        <f>XLOOKUP($A60,Directory_Output!$A$2:$A$201,Directory_Output!$H$2:$H$201,"NOT FOUND")</f>
        <v/>
      </c>
      <c r="E60" s="4">
        <f>IF(C60=D60,"Match","MISMATCH")</f>
        <v/>
      </c>
      <c r="F60" s="4">
        <f>Provider_Source!D60</f>
        <v/>
      </c>
      <c r="G60" s="4">
        <f>XLOOKUP($A60,Directory_Output!$A$2:$A$201,Directory_Output!$D$2:$D$201,"NOT FOUND")</f>
        <v/>
      </c>
      <c r="H60" s="4">
        <f>IF(F60=G60,"Match","MISMATCH")</f>
        <v/>
      </c>
      <c r="I60" s="4">
        <f>Provider_Source!C60</f>
        <v/>
      </c>
      <c r="J60" s="4">
        <f>XLOOKUP($A60,Directory_Output!$A$2:$A$201,Directory_Output!$C$2:$C$201,"NOT FOUND")</f>
        <v/>
      </c>
      <c r="K60" s="4">
        <f>IF(I60=J60,"Match","MISMATCH")</f>
        <v/>
      </c>
      <c r="L60" s="4">
        <f>Provider_Source!I60</f>
        <v/>
      </c>
      <c r="M60" s="4">
        <f>XLOOKUP($A60,Directory_Output!$A$2:$A$201,Directory_Output!$I$2:$I$201,"NOT FOUND")</f>
        <v/>
      </c>
      <c r="N60" s="4">
        <f>IF(L60=M60,"Match","MISMATCH")</f>
        <v/>
      </c>
      <c r="O60" s="4">
        <f>Provider_Source!J60</f>
        <v/>
      </c>
      <c r="P60" s="4">
        <f>XLOOKUP($A60,Directory_Output!$A$2:$A$201,Directory_Output!$J$2:$J$201,"NOT FOUND")</f>
        <v/>
      </c>
      <c r="Q60" s="4">
        <f>IF(O60=P60,"Match","MISMATCH")</f>
        <v/>
      </c>
      <c r="R60" s="4">
        <f>COUNTIF(E60:Q60,"MISMATCH")</f>
        <v/>
      </c>
      <c r="S60" s="4">
        <f>IF(R60=0,"Clean","Needs Review")</f>
        <v/>
      </c>
    </row>
    <row r="61">
      <c r="A61" s="4">
        <f>Provider_Source!A61</f>
        <v/>
      </c>
      <c r="B61" s="4">
        <f>Provider_Source!B61</f>
        <v/>
      </c>
      <c r="C61" s="4">
        <f>Provider_Source!H61</f>
        <v/>
      </c>
      <c r="D61" s="4">
        <f>XLOOKUP($A61,Directory_Output!$A$2:$A$201,Directory_Output!$H$2:$H$201,"NOT FOUND")</f>
        <v/>
      </c>
      <c r="E61" s="4">
        <f>IF(C61=D61,"Match","MISMATCH")</f>
        <v/>
      </c>
      <c r="F61" s="4">
        <f>Provider_Source!D61</f>
        <v/>
      </c>
      <c r="G61" s="4">
        <f>XLOOKUP($A61,Directory_Output!$A$2:$A$201,Directory_Output!$D$2:$D$201,"NOT FOUND")</f>
        <v/>
      </c>
      <c r="H61" s="4">
        <f>IF(F61=G61,"Match","MISMATCH")</f>
        <v/>
      </c>
      <c r="I61" s="4">
        <f>Provider_Source!C61</f>
        <v/>
      </c>
      <c r="J61" s="4">
        <f>XLOOKUP($A61,Directory_Output!$A$2:$A$201,Directory_Output!$C$2:$C$201,"NOT FOUND")</f>
        <v/>
      </c>
      <c r="K61" s="4">
        <f>IF(I61=J61,"Match","MISMATCH")</f>
        <v/>
      </c>
      <c r="L61" s="4">
        <f>Provider_Source!I61</f>
        <v/>
      </c>
      <c r="M61" s="4">
        <f>XLOOKUP($A61,Directory_Output!$A$2:$A$201,Directory_Output!$I$2:$I$201,"NOT FOUND")</f>
        <v/>
      </c>
      <c r="N61" s="4">
        <f>IF(L61=M61,"Match","MISMATCH")</f>
        <v/>
      </c>
      <c r="O61" s="4">
        <f>Provider_Source!J61</f>
        <v/>
      </c>
      <c r="P61" s="4">
        <f>XLOOKUP($A61,Directory_Output!$A$2:$A$201,Directory_Output!$J$2:$J$201,"NOT FOUND")</f>
        <v/>
      </c>
      <c r="Q61" s="4">
        <f>IF(O61=P61,"Match","MISMATCH")</f>
        <v/>
      </c>
      <c r="R61" s="4">
        <f>COUNTIF(E61:Q61,"MISMATCH")</f>
        <v/>
      </c>
      <c r="S61" s="4">
        <f>IF(R61=0,"Clean","Needs Review")</f>
        <v/>
      </c>
    </row>
    <row r="62">
      <c r="A62" s="4">
        <f>Provider_Source!A62</f>
        <v/>
      </c>
      <c r="B62" s="4">
        <f>Provider_Source!B62</f>
        <v/>
      </c>
      <c r="C62" s="4">
        <f>Provider_Source!H62</f>
        <v/>
      </c>
      <c r="D62" s="4">
        <f>XLOOKUP($A62,Directory_Output!$A$2:$A$201,Directory_Output!$H$2:$H$201,"NOT FOUND")</f>
        <v/>
      </c>
      <c r="E62" s="4">
        <f>IF(C62=D62,"Match","MISMATCH")</f>
        <v/>
      </c>
      <c r="F62" s="4">
        <f>Provider_Source!D62</f>
        <v/>
      </c>
      <c r="G62" s="4">
        <f>XLOOKUP($A62,Directory_Output!$A$2:$A$201,Directory_Output!$D$2:$D$201,"NOT FOUND")</f>
        <v/>
      </c>
      <c r="H62" s="4">
        <f>IF(F62=G62,"Match","MISMATCH")</f>
        <v/>
      </c>
      <c r="I62" s="4">
        <f>Provider_Source!C62</f>
        <v/>
      </c>
      <c r="J62" s="4">
        <f>XLOOKUP($A62,Directory_Output!$A$2:$A$201,Directory_Output!$C$2:$C$201,"NOT FOUND")</f>
        <v/>
      </c>
      <c r="K62" s="4">
        <f>IF(I62=J62,"Match","MISMATCH")</f>
        <v/>
      </c>
      <c r="L62" s="4">
        <f>Provider_Source!I62</f>
        <v/>
      </c>
      <c r="M62" s="4">
        <f>XLOOKUP($A62,Directory_Output!$A$2:$A$201,Directory_Output!$I$2:$I$201,"NOT FOUND")</f>
        <v/>
      </c>
      <c r="N62" s="4">
        <f>IF(L62=M62,"Match","MISMATCH")</f>
        <v/>
      </c>
      <c r="O62" s="4">
        <f>Provider_Source!J62</f>
        <v/>
      </c>
      <c r="P62" s="4">
        <f>XLOOKUP($A62,Directory_Output!$A$2:$A$201,Directory_Output!$J$2:$J$201,"NOT FOUND")</f>
        <v/>
      </c>
      <c r="Q62" s="4">
        <f>IF(O62=P62,"Match","MISMATCH")</f>
        <v/>
      </c>
      <c r="R62" s="4">
        <f>COUNTIF(E62:Q62,"MISMATCH")</f>
        <v/>
      </c>
      <c r="S62" s="4">
        <f>IF(R62=0,"Clean","Needs Review")</f>
        <v/>
      </c>
    </row>
    <row r="63">
      <c r="A63" s="4">
        <f>Provider_Source!A63</f>
        <v/>
      </c>
      <c r="B63" s="4">
        <f>Provider_Source!B63</f>
        <v/>
      </c>
      <c r="C63" s="4">
        <f>Provider_Source!H63</f>
        <v/>
      </c>
      <c r="D63" s="4">
        <f>XLOOKUP($A63,Directory_Output!$A$2:$A$201,Directory_Output!$H$2:$H$201,"NOT FOUND")</f>
        <v/>
      </c>
      <c r="E63" s="4">
        <f>IF(C63=D63,"Match","MISMATCH")</f>
        <v/>
      </c>
      <c r="F63" s="4">
        <f>Provider_Source!D63</f>
        <v/>
      </c>
      <c r="G63" s="4">
        <f>XLOOKUP($A63,Directory_Output!$A$2:$A$201,Directory_Output!$D$2:$D$201,"NOT FOUND")</f>
        <v/>
      </c>
      <c r="H63" s="4">
        <f>IF(F63=G63,"Match","MISMATCH")</f>
        <v/>
      </c>
      <c r="I63" s="4">
        <f>Provider_Source!C63</f>
        <v/>
      </c>
      <c r="J63" s="4">
        <f>XLOOKUP($A63,Directory_Output!$A$2:$A$201,Directory_Output!$C$2:$C$201,"NOT FOUND")</f>
        <v/>
      </c>
      <c r="K63" s="4">
        <f>IF(I63=J63,"Match","MISMATCH")</f>
        <v/>
      </c>
      <c r="L63" s="4">
        <f>Provider_Source!I63</f>
        <v/>
      </c>
      <c r="M63" s="4">
        <f>XLOOKUP($A63,Directory_Output!$A$2:$A$201,Directory_Output!$I$2:$I$201,"NOT FOUND")</f>
        <v/>
      </c>
      <c r="N63" s="4">
        <f>IF(L63=M63,"Match","MISMATCH")</f>
        <v/>
      </c>
      <c r="O63" s="4">
        <f>Provider_Source!J63</f>
        <v/>
      </c>
      <c r="P63" s="4">
        <f>XLOOKUP($A63,Directory_Output!$A$2:$A$201,Directory_Output!$J$2:$J$201,"NOT FOUND")</f>
        <v/>
      </c>
      <c r="Q63" s="4">
        <f>IF(O63=P63,"Match","MISMATCH")</f>
        <v/>
      </c>
      <c r="R63" s="4">
        <f>COUNTIF(E63:Q63,"MISMATCH")</f>
        <v/>
      </c>
      <c r="S63" s="4">
        <f>IF(R63=0,"Clean","Needs Review")</f>
        <v/>
      </c>
    </row>
    <row r="64">
      <c r="A64" s="4">
        <f>Provider_Source!A64</f>
        <v/>
      </c>
      <c r="B64" s="4">
        <f>Provider_Source!B64</f>
        <v/>
      </c>
      <c r="C64" s="4">
        <f>Provider_Source!H64</f>
        <v/>
      </c>
      <c r="D64" s="4">
        <f>XLOOKUP($A64,Directory_Output!$A$2:$A$201,Directory_Output!$H$2:$H$201,"NOT FOUND")</f>
        <v/>
      </c>
      <c r="E64" s="4">
        <f>IF(C64=D64,"Match","MISMATCH")</f>
        <v/>
      </c>
      <c r="F64" s="4">
        <f>Provider_Source!D64</f>
        <v/>
      </c>
      <c r="G64" s="4">
        <f>XLOOKUP($A64,Directory_Output!$A$2:$A$201,Directory_Output!$D$2:$D$201,"NOT FOUND")</f>
        <v/>
      </c>
      <c r="H64" s="4">
        <f>IF(F64=G64,"Match","MISMATCH")</f>
        <v/>
      </c>
      <c r="I64" s="4">
        <f>Provider_Source!C64</f>
        <v/>
      </c>
      <c r="J64" s="4">
        <f>XLOOKUP($A64,Directory_Output!$A$2:$A$201,Directory_Output!$C$2:$C$201,"NOT FOUND")</f>
        <v/>
      </c>
      <c r="K64" s="4">
        <f>IF(I64=J64,"Match","MISMATCH")</f>
        <v/>
      </c>
      <c r="L64" s="4">
        <f>Provider_Source!I64</f>
        <v/>
      </c>
      <c r="M64" s="4">
        <f>XLOOKUP($A64,Directory_Output!$A$2:$A$201,Directory_Output!$I$2:$I$201,"NOT FOUND")</f>
        <v/>
      </c>
      <c r="N64" s="4">
        <f>IF(L64=M64,"Match","MISMATCH")</f>
        <v/>
      </c>
      <c r="O64" s="4">
        <f>Provider_Source!J64</f>
        <v/>
      </c>
      <c r="P64" s="4">
        <f>XLOOKUP($A64,Directory_Output!$A$2:$A$201,Directory_Output!$J$2:$J$201,"NOT FOUND")</f>
        <v/>
      </c>
      <c r="Q64" s="4">
        <f>IF(O64=P64,"Match","MISMATCH")</f>
        <v/>
      </c>
      <c r="R64" s="4">
        <f>COUNTIF(E64:Q64,"MISMATCH")</f>
        <v/>
      </c>
      <c r="S64" s="4">
        <f>IF(R64=0,"Clean","Needs Review")</f>
        <v/>
      </c>
    </row>
    <row r="65">
      <c r="A65" s="4">
        <f>Provider_Source!A65</f>
        <v/>
      </c>
      <c r="B65" s="4">
        <f>Provider_Source!B65</f>
        <v/>
      </c>
      <c r="C65" s="4">
        <f>Provider_Source!H65</f>
        <v/>
      </c>
      <c r="D65" s="4">
        <f>XLOOKUP($A65,Directory_Output!$A$2:$A$201,Directory_Output!$H$2:$H$201,"NOT FOUND")</f>
        <v/>
      </c>
      <c r="E65" s="4">
        <f>IF(C65=D65,"Match","MISMATCH")</f>
        <v/>
      </c>
      <c r="F65" s="4">
        <f>Provider_Source!D65</f>
        <v/>
      </c>
      <c r="G65" s="4">
        <f>XLOOKUP($A65,Directory_Output!$A$2:$A$201,Directory_Output!$D$2:$D$201,"NOT FOUND")</f>
        <v/>
      </c>
      <c r="H65" s="4">
        <f>IF(F65=G65,"Match","MISMATCH")</f>
        <v/>
      </c>
      <c r="I65" s="4">
        <f>Provider_Source!C65</f>
        <v/>
      </c>
      <c r="J65" s="4">
        <f>XLOOKUP($A65,Directory_Output!$A$2:$A$201,Directory_Output!$C$2:$C$201,"NOT FOUND")</f>
        <v/>
      </c>
      <c r="K65" s="4">
        <f>IF(I65=J65,"Match","MISMATCH")</f>
        <v/>
      </c>
      <c r="L65" s="4">
        <f>Provider_Source!I65</f>
        <v/>
      </c>
      <c r="M65" s="4">
        <f>XLOOKUP($A65,Directory_Output!$A$2:$A$201,Directory_Output!$I$2:$I$201,"NOT FOUND")</f>
        <v/>
      </c>
      <c r="N65" s="4">
        <f>IF(L65=M65,"Match","MISMATCH")</f>
        <v/>
      </c>
      <c r="O65" s="4">
        <f>Provider_Source!J65</f>
        <v/>
      </c>
      <c r="P65" s="4">
        <f>XLOOKUP($A65,Directory_Output!$A$2:$A$201,Directory_Output!$J$2:$J$201,"NOT FOUND")</f>
        <v/>
      </c>
      <c r="Q65" s="4">
        <f>IF(O65=P65,"Match","MISMATCH")</f>
        <v/>
      </c>
      <c r="R65" s="4">
        <f>COUNTIF(E65:Q65,"MISMATCH")</f>
        <v/>
      </c>
      <c r="S65" s="4">
        <f>IF(R65=0,"Clean","Needs Review")</f>
        <v/>
      </c>
    </row>
    <row r="66">
      <c r="A66" s="4">
        <f>Provider_Source!A66</f>
        <v/>
      </c>
      <c r="B66" s="4">
        <f>Provider_Source!B66</f>
        <v/>
      </c>
      <c r="C66" s="4">
        <f>Provider_Source!H66</f>
        <v/>
      </c>
      <c r="D66" s="4">
        <f>XLOOKUP($A66,Directory_Output!$A$2:$A$201,Directory_Output!$H$2:$H$201,"NOT FOUND")</f>
        <v/>
      </c>
      <c r="E66" s="4">
        <f>IF(C66=D66,"Match","MISMATCH")</f>
        <v/>
      </c>
      <c r="F66" s="4">
        <f>Provider_Source!D66</f>
        <v/>
      </c>
      <c r="G66" s="4">
        <f>XLOOKUP($A66,Directory_Output!$A$2:$A$201,Directory_Output!$D$2:$D$201,"NOT FOUND")</f>
        <v/>
      </c>
      <c r="H66" s="4">
        <f>IF(F66=G66,"Match","MISMATCH")</f>
        <v/>
      </c>
      <c r="I66" s="4">
        <f>Provider_Source!C66</f>
        <v/>
      </c>
      <c r="J66" s="4">
        <f>XLOOKUP($A66,Directory_Output!$A$2:$A$201,Directory_Output!$C$2:$C$201,"NOT FOUND")</f>
        <v/>
      </c>
      <c r="K66" s="4">
        <f>IF(I66=J66,"Match","MISMATCH")</f>
        <v/>
      </c>
      <c r="L66" s="4">
        <f>Provider_Source!I66</f>
        <v/>
      </c>
      <c r="M66" s="4">
        <f>XLOOKUP($A66,Directory_Output!$A$2:$A$201,Directory_Output!$I$2:$I$201,"NOT FOUND")</f>
        <v/>
      </c>
      <c r="N66" s="4">
        <f>IF(L66=M66,"Match","MISMATCH")</f>
        <v/>
      </c>
      <c r="O66" s="4">
        <f>Provider_Source!J66</f>
        <v/>
      </c>
      <c r="P66" s="4">
        <f>XLOOKUP($A66,Directory_Output!$A$2:$A$201,Directory_Output!$J$2:$J$201,"NOT FOUND")</f>
        <v/>
      </c>
      <c r="Q66" s="4">
        <f>IF(O66=P66,"Match","MISMATCH")</f>
        <v/>
      </c>
      <c r="R66" s="4">
        <f>COUNTIF(E66:Q66,"MISMATCH")</f>
        <v/>
      </c>
      <c r="S66" s="4">
        <f>IF(R66=0,"Clean","Needs Review")</f>
        <v/>
      </c>
    </row>
    <row r="67">
      <c r="A67" s="4">
        <f>Provider_Source!A67</f>
        <v/>
      </c>
      <c r="B67" s="4">
        <f>Provider_Source!B67</f>
        <v/>
      </c>
      <c r="C67" s="4">
        <f>Provider_Source!H67</f>
        <v/>
      </c>
      <c r="D67" s="4">
        <f>XLOOKUP($A67,Directory_Output!$A$2:$A$201,Directory_Output!$H$2:$H$201,"NOT FOUND")</f>
        <v/>
      </c>
      <c r="E67" s="4">
        <f>IF(C67=D67,"Match","MISMATCH")</f>
        <v/>
      </c>
      <c r="F67" s="4">
        <f>Provider_Source!D67</f>
        <v/>
      </c>
      <c r="G67" s="4">
        <f>XLOOKUP($A67,Directory_Output!$A$2:$A$201,Directory_Output!$D$2:$D$201,"NOT FOUND")</f>
        <v/>
      </c>
      <c r="H67" s="4">
        <f>IF(F67=G67,"Match","MISMATCH")</f>
        <v/>
      </c>
      <c r="I67" s="4">
        <f>Provider_Source!C67</f>
        <v/>
      </c>
      <c r="J67" s="4">
        <f>XLOOKUP($A67,Directory_Output!$A$2:$A$201,Directory_Output!$C$2:$C$201,"NOT FOUND")</f>
        <v/>
      </c>
      <c r="K67" s="4">
        <f>IF(I67=J67,"Match","MISMATCH")</f>
        <v/>
      </c>
      <c r="L67" s="4">
        <f>Provider_Source!I67</f>
        <v/>
      </c>
      <c r="M67" s="4">
        <f>XLOOKUP($A67,Directory_Output!$A$2:$A$201,Directory_Output!$I$2:$I$201,"NOT FOUND")</f>
        <v/>
      </c>
      <c r="N67" s="4">
        <f>IF(L67=M67,"Match","MISMATCH")</f>
        <v/>
      </c>
      <c r="O67" s="4">
        <f>Provider_Source!J67</f>
        <v/>
      </c>
      <c r="P67" s="4">
        <f>XLOOKUP($A67,Directory_Output!$A$2:$A$201,Directory_Output!$J$2:$J$201,"NOT FOUND")</f>
        <v/>
      </c>
      <c r="Q67" s="4">
        <f>IF(O67=P67,"Match","MISMATCH")</f>
        <v/>
      </c>
      <c r="R67" s="4">
        <f>COUNTIF(E67:Q67,"MISMATCH")</f>
        <v/>
      </c>
      <c r="S67" s="4">
        <f>IF(R67=0,"Clean","Needs Review")</f>
        <v/>
      </c>
    </row>
    <row r="68">
      <c r="A68" s="4">
        <f>Provider_Source!A68</f>
        <v/>
      </c>
      <c r="B68" s="4">
        <f>Provider_Source!B68</f>
        <v/>
      </c>
      <c r="C68" s="4">
        <f>Provider_Source!H68</f>
        <v/>
      </c>
      <c r="D68" s="4">
        <f>XLOOKUP($A68,Directory_Output!$A$2:$A$201,Directory_Output!$H$2:$H$201,"NOT FOUND")</f>
        <v/>
      </c>
      <c r="E68" s="4">
        <f>IF(C68=D68,"Match","MISMATCH")</f>
        <v/>
      </c>
      <c r="F68" s="4">
        <f>Provider_Source!D68</f>
        <v/>
      </c>
      <c r="G68" s="4">
        <f>XLOOKUP($A68,Directory_Output!$A$2:$A$201,Directory_Output!$D$2:$D$201,"NOT FOUND")</f>
        <v/>
      </c>
      <c r="H68" s="4">
        <f>IF(F68=G68,"Match","MISMATCH")</f>
        <v/>
      </c>
      <c r="I68" s="4">
        <f>Provider_Source!C68</f>
        <v/>
      </c>
      <c r="J68" s="4">
        <f>XLOOKUP($A68,Directory_Output!$A$2:$A$201,Directory_Output!$C$2:$C$201,"NOT FOUND")</f>
        <v/>
      </c>
      <c r="K68" s="4">
        <f>IF(I68=J68,"Match","MISMATCH")</f>
        <v/>
      </c>
      <c r="L68" s="4">
        <f>Provider_Source!I68</f>
        <v/>
      </c>
      <c r="M68" s="4">
        <f>XLOOKUP($A68,Directory_Output!$A$2:$A$201,Directory_Output!$I$2:$I$201,"NOT FOUND")</f>
        <v/>
      </c>
      <c r="N68" s="4">
        <f>IF(L68=M68,"Match","MISMATCH")</f>
        <v/>
      </c>
      <c r="O68" s="4">
        <f>Provider_Source!J68</f>
        <v/>
      </c>
      <c r="P68" s="4">
        <f>XLOOKUP($A68,Directory_Output!$A$2:$A$201,Directory_Output!$J$2:$J$201,"NOT FOUND")</f>
        <v/>
      </c>
      <c r="Q68" s="4">
        <f>IF(O68=P68,"Match","MISMATCH")</f>
        <v/>
      </c>
      <c r="R68" s="4">
        <f>COUNTIF(E68:Q68,"MISMATCH")</f>
        <v/>
      </c>
      <c r="S68" s="4">
        <f>IF(R68=0,"Clean","Needs Review")</f>
        <v/>
      </c>
    </row>
    <row r="69">
      <c r="A69" s="4">
        <f>Provider_Source!A69</f>
        <v/>
      </c>
      <c r="B69" s="4">
        <f>Provider_Source!B69</f>
        <v/>
      </c>
      <c r="C69" s="4">
        <f>Provider_Source!H69</f>
        <v/>
      </c>
      <c r="D69" s="4">
        <f>XLOOKUP($A69,Directory_Output!$A$2:$A$201,Directory_Output!$H$2:$H$201,"NOT FOUND")</f>
        <v/>
      </c>
      <c r="E69" s="4">
        <f>IF(C69=D69,"Match","MISMATCH")</f>
        <v/>
      </c>
      <c r="F69" s="4">
        <f>Provider_Source!D69</f>
        <v/>
      </c>
      <c r="G69" s="4">
        <f>XLOOKUP($A69,Directory_Output!$A$2:$A$201,Directory_Output!$D$2:$D$201,"NOT FOUND")</f>
        <v/>
      </c>
      <c r="H69" s="4">
        <f>IF(F69=G69,"Match","MISMATCH")</f>
        <v/>
      </c>
      <c r="I69" s="4">
        <f>Provider_Source!C69</f>
        <v/>
      </c>
      <c r="J69" s="4">
        <f>XLOOKUP($A69,Directory_Output!$A$2:$A$201,Directory_Output!$C$2:$C$201,"NOT FOUND")</f>
        <v/>
      </c>
      <c r="K69" s="4">
        <f>IF(I69=J69,"Match","MISMATCH")</f>
        <v/>
      </c>
      <c r="L69" s="4">
        <f>Provider_Source!I69</f>
        <v/>
      </c>
      <c r="M69" s="4">
        <f>XLOOKUP($A69,Directory_Output!$A$2:$A$201,Directory_Output!$I$2:$I$201,"NOT FOUND")</f>
        <v/>
      </c>
      <c r="N69" s="4">
        <f>IF(L69=M69,"Match","MISMATCH")</f>
        <v/>
      </c>
      <c r="O69" s="4">
        <f>Provider_Source!J69</f>
        <v/>
      </c>
      <c r="P69" s="4">
        <f>XLOOKUP($A69,Directory_Output!$A$2:$A$201,Directory_Output!$J$2:$J$201,"NOT FOUND")</f>
        <v/>
      </c>
      <c r="Q69" s="4">
        <f>IF(O69=P69,"Match","MISMATCH")</f>
        <v/>
      </c>
      <c r="R69" s="4">
        <f>COUNTIF(E69:Q69,"MISMATCH")</f>
        <v/>
      </c>
      <c r="S69" s="4">
        <f>IF(R69=0,"Clean","Needs Review")</f>
        <v/>
      </c>
    </row>
    <row r="70">
      <c r="A70" s="4">
        <f>Provider_Source!A70</f>
        <v/>
      </c>
      <c r="B70" s="4">
        <f>Provider_Source!B70</f>
        <v/>
      </c>
      <c r="C70" s="4">
        <f>Provider_Source!H70</f>
        <v/>
      </c>
      <c r="D70" s="4">
        <f>XLOOKUP($A70,Directory_Output!$A$2:$A$201,Directory_Output!$H$2:$H$201,"NOT FOUND")</f>
        <v/>
      </c>
      <c r="E70" s="4">
        <f>IF(C70=D70,"Match","MISMATCH")</f>
        <v/>
      </c>
      <c r="F70" s="4">
        <f>Provider_Source!D70</f>
        <v/>
      </c>
      <c r="G70" s="4">
        <f>XLOOKUP($A70,Directory_Output!$A$2:$A$201,Directory_Output!$D$2:$D$201,"NOT FOUND")</f>
        <v/>
      </c>
      <c r="H70" s="4">
        <f>IF(F70=G70,"Match","MISMATCH")</f>
        <v/>
      </c>
      <c r="I70" s="4">
        <f>Provider_Source!C70</f>
        <v/>
      </c>
      <c r="J70" s="4">
        <f>XLOOKUP($A70,Directory_Output!$A$2:$A$201,Directory_Output!$C$2:$C$201,"NOT FOUND")</f>
        <v/>
      </c>
      <c r="K70" s="4">
        <f>IF(I70=J70,"Match","MISMATCH")</f>
        <v/>
      </c>
      <c r="L70" s="4">
        <f>Provider_Source!I70</f>
        <v/>
      </c>
      <c r="M70" s="4">
        <f>XLOOKUP($A70,Directory_Output!$A$2:$A$201,Directory_Output!$I$2:$I$201,"NOT FOUND")</f>
        <v/>
      </c>
      <c r="N70" s="4">
        <f>IF(L70=M70,"Match","MISMATCH")</f>
        <v/>
      </c>
      <c r="O70" s="4">
        <f>Provider_Source!J70</f>
        <v/>
      </c>
      <c r="P70" s="4">
        <f>XLOOKUP($A70,Directory_Output!$A$2:$A$201,Directory_Output!$J$2:$J$201,"NOT FOUND")</f>
        <v/>
      </c>
      <c r="Q70" s="4">
        <f>IF(O70=P70,"Match","MISMATCH")</f>
        <v/>
      </c>
      <c r="R70" s="4">
        <f>COUNTIF(E70:Q70,"MISMATCH")</f>
        <v/>
      </c>
      <c r="S70" s="4">
        <f>IF(R70=0,"Clean","Needs Review")</f>
        <v/>
      </c>
    </row>
    <row r="71">
      <c r="A71" s="4">
        <f>Provider_Source!A71</f>
        <v/>
      </c>
      <c r="B71" s="4">
        <f>Provider_Source!B71</f>
        <v/>
      </c>
      <c r="C71" s="4">
        <f>Provider_Source!H71</f>
        <v/>
      </c>
      <c r="D71" s="4">
        <f>XLOOKUP($A71,Directory_Output!$A$2:$A$201,Directory_Output!$H$2:$H$201,"NOT FOUND")</f>
        <v/>
      </c>
      <c r="E71" s="4">
        <f>IF(C71=D71,"Match","MISMATCH")</f>
        <v/>
      </c>
      <c r="F71" s="4">
        <f>Provider_Source!D71</f>
        <v/>
      </c>
      <c r="G71" s="4">
        <f>XLOOKUP($A71,Directory_Output!$A$2:$A$201,Directory_Output!$D$2:$D$201,"NOT FOUND")</f>
        <v/>
      </c>
      <c r="H71" s="4">
        <f>IF(F71=G71,"Match","MISMATCH")</f>
        <v/>
      </c>
      <c r="I71" s="4">
        <f>Provider_Source!C71</f>
        <v/>
      </c>
      <c r="J71" s="4">
        <f>XLOOKUP($A71,Directory_Output!$A$2:$A$201,Directory_Output!$C$2:$C$201,"NOT FOUND")</f>
        <v/>
      </c>
      <c r="K71" s="4">
        <f>IF(I71=J71,"Match","MISMATCH")</f>
        <v/>
      </c>
      <c r="L71" s="4">
        <f>Provider_Source!I71</f>
        <v/>
      </c>
      <c r="M71" s="4">
        <f>XLOOKUP($A71,Directory_Output!$A$2:$A$201,Directory_Output!$I$2:$I$201,"NOT FOUND")</f>
        <v/>
      </c>
      <c r="N71" s="4">
        <f>IF(L71=M71,"Match","MISMATCH")</f>
        <v/>
      </c>
      <c r="O71" s="4">
        <f>Provider_Source!J71</f>
        <v/>
      </c>
      <c r="P71" s="4">
        <f>XLOOKUP($A71,Directory_Output!$A$2:$A$201,Directory_Output!$J$2:$J$201,"NOT FOUND")</f>
        <v/>
      </c>
      <c r="Q71" s="4">
        <f>IF(O71=P71,"Match","MISMATCH")</f>
        <v/>
      </c>
      <c r="R71" s="4">
        <f>COUNTIF(E71:Q71,"MISMATCH")</f>
        <v/>
      </c>
      <c r="S71" s="4">
        <f>IF(R71=0,"Clean","Needs Review")</f>
        <v/>
      </c>
    </row>
    <row r="72">
      <c r="A72" s="4">
        <f>Provider_Source!A72</f>
        <v/>
      </c>
      <c r="B72" s="4">
        <f>Provider_Source!B72</f>
        <v/>
      </c>
      <c r="C72" s="4">
        <f>Provider_Source!H72</f>
        <v/>
      </c>
      <c r="D72" s="4">
        <f>XLOOKUP($A72,Directory_Output!$A$2:$A$201,Directory_Output!$H$2:$H$201,"NOT FOUND")</f>
        <v/>
      </c>
      <c r="E72" s="4">
        <f>IF(C72=D72,"Match","MISMATCH")</f>
        <v/>
      </c>
      <c r="F72" s="4">
        <f>Provider_Source!D72</f>
        <v/>
      </c>
      <c r="G72" s="4">
        <f>XLOOKUP($A72,Directory_Output!$A$2:$A$201,Directory_Output!$D$2:$D$201,"NOT FOUND")</f>
        <v/>
      </c>
      <c r="H72" s="4">
        <f>IF(F72=G72,"Match","MISMATCH")</f>
        <v/>
      </c>
      <c r="I72" s="4">
        <f>Provider_Source!C72</f>
        <v/>
      </c>
      <c r="J72" s="4">
        <f>XLOOKUP($A72,Directory_Output!$A$2:$A$201,Directory_Output!$C$2:$C$201,"NOT FOUND")</f>
        <v/>
      </c>
      <c r="K72" s="4">
        <f>IF(I72=J72,"Match","MISMATCH")</f>
        <v/>
      </c>
      <c r="L72" s="4">
        <f>Provider_Source!I72</f>
        <v/>
      </c>
      <c r="M72" s="4">
        <f>XLOOKUP($A72,Directory_Output!$A$2:$A$201,Directory_Output!$I$2:$I$201,"NOT FOUND")</f>
        <v/>
      </c>
      <c r="N72" s="4">
        <f>IF(L72=M72,"Match","MISMATCH")</f>
        <v/>
      </c>
      <c r="O72" s="4">
        <f>Provider_Source!J72</f>
        <v/>
      </c>
      <c r="P72" s="4">
        <f>XLOOKUP($A72,Directory_Output!$A$2:$A$201,Directory_Output!$J$2:$J$201,"NOT FOUND")</f>
        <v/>
      </c>
      <c r="Q72" s="4">
        <f>IF(O72=P72,"Match","MISMATCH")</f>
        <v/>
      </c>
      <c r="R72" s="4">
        <f>COUNTIF(E72:Q72,"MISMATCH")</f>
        <v/>
      </c>
      <c r="S72" s="4">
        <f>IF(R72=0,"Clean","Needs Review")</f>
        <v/>
      </c>
    </row>
    <row r="73">
      <c r="A73" s="4">
        <f>Provider_Source!A73</f>
        <v/>
      </c>
      <c r="B73" s="4">
        <f>Provider_Source!B73</f>
        <v/>
      </c>
      <c r="C73" s="4">
        <f>Provider_Source!H73</f>
        <v/>
      </c>
      <c r="D73" s="4">
        <f>XLOOKUP($A73,Directory_Output!$A$2:$A$201,Directory_Output!$H$2:$H$201,"NOT FOUND")</f>
        <v/>
      </c>
      <c r="E73" s="4">
        <f>IF(C73=D73,"Match","MISMATCH")</f>
        <v/>
      </c>
      <c r="F73" s="4">
        <f>Provider_Source!D73</f>
        <v/>
      </c>
      <c r="G73" s="4">
        <f>XLOOKUP($A73,Directory_Output!$A$2:$A$201,Directory_Output!$D$2:$D$201,"NOT FOUND")</f>
        <v/>
      </c>
      <c r="H73" s="4">
        <f>IF(F73=G73,"Match","MISMATCH")</f>
        <v/>
      </c>
      <c r="I73" s="4">
        <f>Provider_Source!C73</f>
        <v/>
      </c>
      <c r="J73" s="4">
        <f>XLOOKUP($A73,Directory_Output!$A$2:$A$201,Directory_Output!$C$2:$C$201,"NOT FOUND")</f>
        <v/>
      </c>
      <c r="K73" s="4">
        <f>IF(I73=J73,"Match","MISMATCH")</f>
        <v/>
      </c>
      <c r="L73" s="4">
        <f>Provider_Source!I73</f>
        <v/>
      </c>
      <c r="M73" s="4">
        <f>XLOOKUP($A73,Directory_Output!$A$2:$A$201,Directory_Output!$I$2:$I$201,"NOT FOUND")</f>
        <v/>
      </c>
      <c r="N73" s="4">
        <f>IF(L73=M73,"Match","MISMATCH")</f>
        <v/>
      </c>
      <c r="O73" s="4">
        <f>Provider_Source!J73</f>
        <v/>
      </c>
      <c r="P73" s="4">
        <f>XLOOKUP($A73,Directory_Output!$A$2:$A$201,Directory_Output!$J$2:$J$201,"NOT FOUND")</f>
        <v/>
      </c>
      <c r="Q73" s="4">
        <f>IF(O73=P73,"Match","MISMATCH")</f>
        <v/>
      </c>
      <c r="R73" s="4">
        <f>COUNTIF(E73:Q73,"MISMATCH")</f>
        <v/>
      </c>
      <c r="S73" s="4">
        <f>IF(R73=0,"Clean","Needs Review")</f>
        <v/>
      </c>
    </row>
    <row r="74">
      <c r="A74" s="4">
        <f>Provider_Source!A74</f>
        <v/>
      </c>
      <c r="B74" s="4">
        <f>Provider_Source!B74</f>
        <v/>
      </c>
      <c r="C74" s="4">
        <f>Provider_Source!H74</f>
        <v/>
      </c>
      <c r="D74" s="4">
        <f>XLOOKUP($A74,Directory_Output!$A$2:$A$201,Directory_Output!$H$2:$H$201,"NOT FOUND")</f>
        <v/>
      </c>
      <c r="E74" s="4">
        <f>IF(C74=D74,"Match","MISMATCH")</f>
        <v/>
      </c>
      <c r="F74" s="4">
        <f>Provider_Source!D74</f>
        <v/>
      </c>
      <c r="G74" s="4">
        <f>XLOOKUP($A74,Directory_Output!$A$2:$A$201,Directory_Output!$D$2:$D$201,"NOT FOUND")</f>
        <v/>
      </c>
      <c r="H74" s="4">
        <f>IF(F74=G74,"Match","MISMATCH")</f>
        <v/>
      </c>
      <c r="I74" s="4">
        <f>Provider_Source!C74</f>
        <v/>
      </c>
      <c r="J74" s="4">
        <f>XLOOKUP($A74,Directory_Output!$A$2:$A$201,Directory_Output!$C$2:$C$201,"NOT FOUND")</f>
        <v/>
      </c>
      <c r="K74" s="4">
        <f>IF(I74=J74,"Match","MISMATCH")</f>
        <v/>
      </c>
      <c r="L74" s="4">
        <f>Provider_Source!I74</f>
        <v/>
      </c>
      <c r="M74" s="4">
        <f>XLOOKUP($A74,Directory_Output!$A$2:$A$201,Directory_Output!$I$2:$I$201,"NOT FOUND")</f>
        <v/>
      </c>
      <c r="N74" s="4">
        <f>IF(L74=M74,"Match","MISMATCH")</f>
        <v/>
      </c>
      <c r="O74" s="4">
        <f>Provider_Source!J74</f>
        <v/>
      </c>
      <c r="P74" s="4">
        <f>XLOOKUP($A74,Directory_Output!$A$2:$A$201,Directory_Output!$J$2:$J$201,"NOT FOUND")</f>
        <v/>
      </c>
      <c r="Q74" s="4">
        <f>IF(O74=P74,"Match","MISMATCH")</f>
        <v/>
      </c>
      <c r="R74" s="4">
        <f>COUNTIF(E74:Q74,"MISMATCH")</f>
        <v/>
      </c>
      <c r="S74" s="4">
        <f>IF(R74=0,"Clean","Needs Review")</f>
        <v/>
      </c>
    </row>
    <row r="75">
      <c r="A75" s="4">
        <f>Provider_Source!A75</f>
        <v/>
      </c>
      <c r="B75" s="4">
        <f>Provider_Source!B75</f>
        <v/>
      </c>
      <c r="C75" s="4">
        <f>Provider_Source!H75</f>
        <v/>
      </c>
      <c r="D75" s="4">
        <f>XLOOKUP($A75,Directory_Output!$A$2:$A$201,Directory_Output!$H$2:$H$201,"NOT FOUND")</f>
        <v/>
      </c>
      <c r="E75" s="4">
        <f>IF(C75=D75,"Match","MISMATCH")</f>
        <v/>
      </c>
      <c r="F75" s="4">
        <f>Provider_Source!D75</f>
        <v/>
      </c>
      <c r="G75" s="4">
        <f>XLOOKUP($A75,Directory_Output!$A$2:$A$201,Directory_Output!$D$2:$D$201,"NOT FOUND")</f>
        <v/>
      </c>
      <c r="H75" s="4">
        <f>IF(F75=G75,"Match","MISMATCH")</f>
        <v/>
      </c>
      <c r="I75" s="4">
        <f>Provider_Source!C75</f>
        <v/>
      </c>
      <c r="J75" s="4">
        <f>XLOOKUP($A75,Directory_Output!$A$2:$A$201,Directory_Output!$C$2:$C$201,"NOT FOUND")</f>
        <v/>
      </c>
      <c r="K75" s="4">
        <f>IF(I75=J75,"Match","MISMATCH")</f>
        <v/>
      </c>
      <c r="L75" s="4">
        <f>Provider_Source!I75</f>
        <v/>
      </c>
      <c r="M75" s="4">
        <f>XLOOKUP($A75,Directory_Output!$A$2:$A$201,Directory_Output!$I$2:$I$201,"NOT FOUND")</f>
        <v/>
      </c>
      <c r="N75" s="4">
        <f>IF(L75=M75,"Match","MISMATCH")</f>
        <v/>
      </c>
      <c r="O75" s="4">
        <f>Provider_Source!J75</f>
        <v/>
      </c>
      <c r="P75" s="4">
        <f>XLOOKUP($A75,Directory_Output!$A$2:$A$201,Directory_Output!$J$2:$J$201,"NOT FOUND")</f>
        <v/>
      </c>
      <c r="Q75" s="4">
        <f>IF(O75=P75,"Match","MISMATCH")</f>
        <v/>
      </c>
      <c r="R75" s="4">
        <f>COUNTIF(E75:Q75,"MISMATCH")</f>
        <v/>
      </c>
      <c r="S75" s="4">
        <f>IF(R75=0,"Clean","Needs Review")</f>
        <v/>
      </c>
    </row>
    <row r="76">
      <c r="A76" s="4">
        <f>Provider_Source!A76</f>
        <v/>
      </c>
      <c r="B76" s="4">
        <f>Provider_Source!B76</f>
        <v/>
      </c>
      <c r="C76" s="4">
        <f>Provider_Source!H76</f>
        <v/>
      </c>
      <c r="D76" s="4">
        <f>XLOOKUP($A76,Directory_Output!$A$2:$A$201,Directory_Output!$H$2:$H$201,"NOT FOUND")</f>
        <v/>
      </c>
      <c r="E76" s="4">
        <f>IF(C76=D76,"Match","MISMATCH")</f>
        <v/>
      </c>
      <c r="F76" s="4">
        <f>Provider_Source!D76</f>
        <v/>
      </c>
      <c r="G76" s="4">
        <f>XLOOKUP($A76,Directory_Output!$A$2:$A$201,Directory_Output!$D$2:$D$201,"NOT FOUND")</f>
        <v/>
      </c>
      <c r="H76" s="4">
        <f>IF(F76=G76,"Match","MISMATCH")</f>
        <v/>
      </c>
      <c r="I76" s="4">
        <f>Provider_Source!C76</f>
        <v/>
      </c>
      <c r="J76" s="4">
        <f>XLOOKUP($A76,Directory_Output!$A$2:$A$201,Directory_Output!$C$2:$C$201,"NOT FOUND")</f>
        <v/>
      </c>
      <c r="K76" s="4">
        <f>IF(I76=J76,"Match","MISMATCH")</f>
        <v/>
      </c>
      <c r="L76" s="4">
        <f>Provider_Source!I76</f>
        <v/>
      </c>
      <c r="M76" s="4">
        <f>XLOOKUP($A76,Directory_Output!$A$2:$A$201,Directory_Output!$I$2:$I$201,"NOT FOUND")</f>
        <v/>
      </c>
      <c r="N76" s="4">
        <f>IF(L76=M76,"Match","MISMATCH")</f>
        <v/>
      </c>
      <c r="O76" s="4">
        <f>Provider_Source!J76</f>
        <v/>
      </c>
      <c r="P76" s="4">
        <f>XLOOKUP($A76,Directory_Output!$A$2:$A$201,Directory_Output!$J$2:$J$201,"NOT FOUND")</f>
        <v/>
      </c>
      <c r="Q76" s="4">
        <f>IF(O76=P76,"Match","MISMATCH")</f>
        <v/>
      </c>
      <c r="R76" s="4">
        <f>COUNTIF(E76:Q76,"MISMATCH")</f>
        <v/>
      </c>
      <c r="S76" s="4">
        <f>IF(R76=0,"Clean","Needs Review")</f>
        <v/>
      </c>
    </row>
    <row r="77">
      <c r="A77" s="4">
        <f>Provider_Source!A77</f>
        <v/>
      </c>
      <c r="B77" s="4">
        <f>Provider_Source!B77</f>
        <v/>
      </c>
      <c r="C77" s="4">
        <f>Provider_Source!H77</f>
        <v/>
      </c>
      <c r="D77" s="4">
        <f>XLOOKUP($A77,Directory_Output!$A$2:$A$201,Directory_Output!$H$2:$H$201,"NOT FOUND")</f>
        <v/>
      </c>
      <c r="E77" s="4">
        <f>IF(C77=D77,"Match","MISMATCH")</f>
        <v/>
      </c>
      <c r="F77" s="4">
        <f>Provider_Source!D77</f>
        <v/>
      </c>
      <c r="G77" s="4">
        <f>XLOOKUP($A77,Directory_Output!$A$2:$A$201,Directory_Output!$D$2:$D$201,"NOT FOUND")</f>
        <v/>
      </c>
      <c r="H77" s="4">
        <f>IF(F77=G77,"Match","MISMATCH")</f>
        <v/>
      </c>
      <c r="I77" s="4">
        <f>Provider_Source!C77</f>
        <v/>
      </c>
      <c r="J77" s="4">
        <f>XLOOKUP($A77,Directory_Output!$A$2:$A$201,Directory_Output!$C$2:$C$201,"NOT FOUND")</f>
        <v/>
      </c>
      <c r="K77" s="4">
        <f>IF(I77=J77,"Match","MISMATCH")</f>
        <v/>
      </c>
      <c r="L77" s="4">
        <f>Provider_Source!I77</f>
        <v/>
      </c>
      <c r="M77" s="4">
        <f>XLOOKUP($A77,Directory_Output!$A$2:$A$201,Directory_Output!$I$2:$I$201,"NOT FOUND")</f>
        <v/>
      </c>
      <c r="N77" s="4">
        <f>IF(L77=M77,"Match","MISMATCH")</f>
        <v/>
      </c>
      <c r="O77" s="4">
        <f>Provider_Source!J77</f>
        <v/>
      </c>
      <c r="P77" s="4">
        <f>XLOOKUP($A77,Directory_Output!$A$2:$A$201,Directory_Output!$J$2:$J$201,"NOT FOUND")</f>
        <v/>
      </c>
      <c r="Q77" s="4">
        <f>IF(O77=P77,"Match","MISMATCH")</f>
        <v/>
      </c>
      <c r="R77" s="4">
        <f>COUNTIF(E77:Q77,"MISMATCH")</f>
        <v/>
      </c>
      <c r="S77" s="4">
        <f>IF(R77=0,"Clean","Needs Review")</f>
        <v/>
      </c>
    </row>
    <row r="78">
      <c r="A78" s="4">
        <f>Provider_Source!A78</f>
        <v/>
      </c>
      <c r="B78" s="4">
        <f>Provider_Source!B78</f>
        <v/>
      </c>
      <c r="C78" s="4">
        <f>Provider_Source!H78</f>
        <v/>
      </c>
      <c r="D78" s="4">
        <f>XLOOKUP($A78,Directory_Output!$A$2:$A$201,Directory_Output!$H$2:$H$201,"NOT FOUND")</f>
        <v/>
      </c>
      <c r="E78" s="4">
        <f>IF(C78=D78,"Match","MISMATCH")</f>
        <v/>
      </c>
      <c r="F78" s="4">
        <f>Provider_Source!D78</f>
        <v/>
      </c>
      <c r="G78" s="4">
        <f>XLOOKUP($A78,Directory_Output!$A$2:$A$201,Directory_Output!$D$2:$D$201,"NOT FOUND")</f>
        <v/>
      </c>
      <c r="H78" s="4">
        <f>IF(F78=G78,"Match","MISMATCH")</f>
        <v/>
      </c>
      <c r="I78" s="4">
        <f>Provider_Source!C78</f>
        <v/>
      </c>
      <c r="J78" s="4">
        <f>XLOOKUP($A78,Directory_Output!$A$2:$A$201,Directory_Output!$C$2:$C$201,"NOT FOUND")</f>
        <v/>
      </c>
      <c r="K78" s="4">
        <f>IF(I78=J78,"Match","MISMATCH")</f>
        <v/>
      </c>
      <c r="L78" s="4">
        <f>Provider_Source!I78</f>
        <v/>
      </c>
      <c r="M78" s="4">
        <f>XLOOKUP($A78,Directory_Output!$A$2:$A$201,Directory_Output!$I$2:$I$201,"NOT FOUND")</f>
        <v/>
      </c>
      <c r="N78" s="4">
        <f>IF(L78=M78,"Match","MISMATCH")</f>
        <v/>
      </c>
      <c r="O78" s="4">
        <f>Provider_Source!J78</f>
        <v/>
      </c>
      <c r="P78" s="4">
        <f>XLOOKUP($A78,Directory_Output!$A$2:$A$201,Directory_Output!$J$2:$J$201,"NOT FOUND")</f>
        <v/>
      </c>
      <c r="Q78" s="4">
        <f>IF(O78=P78,"Match","MISMATCH")</f>
        <v/>
      </c>
      <c r="R78" s="4">
        <f>COUNTIF(E78:Q78,"MISMATCH")</f>
        <v/>
      </c>
      <c r="S78" s="4">
        <f>IF(R78=0,"Clean","Needs Review")</f>
        <v/>
      </c>
    </row>
    <row r="79">
      <c r="A79" s="4">
        <f>Provider_Source!A79</f>
        <v/>
      </c>
      <c r="B79" s="4">
        <f>Provider_Source!B79</f>
        <v/>
      </c>
      <c r="C79" s="4">
        <f>Provider_Source!H79</f>
        <v/>
      </c>
      <c r="D79" s="4">
        <f>XLOOKUP($A79,Directory_Output!$A$2:$A$201,Directory_Output!$H$2:$H$201,"NOT FOUND")</f>
        <v/>
      </c>
      <c r="E79" s="4">
        <f>IF(C79=D79,"Match","MISMATCH")</f>
        <v/>
      </c>
      <c r="F79" s="4">
        <f>Provider_Source!D79</f>
        <v/>
      </c>
      <c r="G79" s="4">
        <f>XLOOKUP($A79,Directory_Output!$A$2:$A$201,Directory_Output!$D$2:$D$201,"NOT FOUND")</f>
        <v/>
      </c>
      <c r="H79" s="4">
        <f>IF(F79=G79,"Match","MISMATCH")</f>
        <v/>
      </c>
      <c r="I79" s="4">
        <f>Provider_Source!C79</f>
        <v/>
      </c>
      <c r="J79" s="4">
        <f>XLOOKUP($A79,Directory_Output!$A$2:$A$201,Directory_Output!$C$2:$C$201,"NOT FOUND")</f>
        <v/>
      </c>
      <c r="K79" s="4">
        <f>IF(I79=J79,"Match","MISMATCH")</f>
        <v/>
      </c>
      <c r="L79" s="4">
        <f>Provider_Source!I79</f>
        <v/>
      </c>
      <c r="M79" s="4">
        <f>XLOOKUP($A79,Directory_Output!$A$2:$A$201,Directory_Output!$I$2:$I$201,"NOT FOUND")</f>
        <v/>
      </c>
      <c r="N79" s="4">
        <f>IF(L79=M79,"Match","MISMATCH")</f>
        <v/>
      </c>
      <c r="O79" s="4">
        <f>Provider_Source!J79</f>
        <v/>
      </c>
      <c r="P79" s="4">
        <f>XLOOKUP($A79,Directory_Output!$A$2:$A$201,Directory_Output!$J$2:$J$201,"NOT FOUND")</f>
        <v/>
      </c>
      <c r="Q79" s="4">
        <f>IF(O79=P79,"Match","MISMATCH")</f>
        <v/>
      </c>
      <c r="R79" s="4">
        <f>COUNTIF(E79:Q79,"MISMATCH")</f>
        <v/>
      </c>
      <c r="S79" s="4">
        <f>IF(R79=0,"Clean","Needs Review")</f>
        <v/>
      </c>
    </row>
    <row r="80">
      <c r="A80" s="4">
        <f>Provider_Source!A80</f>
        <v/>
      </c>
      <c r="B80" s="4">
        <f>Provider_Source!B80</f>
        <v/>
      </c>
      <c r="C80" s="4">
        <f>Provider_Source!H80</f>
        <v/>
      </c>
      <c r="D80" s="4">
        <f>XLOOKUP($A80,Directory_Output!$A$2:$A$201,Directory_Output!$H$2:$H$201,"NOT FOUND")</f>
        <v/>
      </c>
      <c r="E80" s="4">
        <f>IF(C80=D80,"Match","MISMATCH")</f>
        <v/>
      </c>
      <c r="F80" s="4">
        <f>Provider_Source!D80</f>
        <v/>
      </c>
      <c r="G80" s="4">
        <f>XLOOKUP($A80,Directory_Output!$A$2:$A$201,Directory_Output!$D$2:$D$201,"NOT FOUND")</f>
        <v/>
      </c>
      <c r="H80" s="4">
        <f>IF(F80=G80,"Match","MISMATCH")</f>
        <v/>
      </c>
      <c r="I80" s="4">
        <f>Provider_Source!C80</f>
        <v/>
      </c>
      <c r="J80" s="4">
        <f>XLOOKUP($A80,Directory_Output!$A$2:$A$201,Directory_Output!$C$2:$C$201,"NOT FOUND")</f>
        <v/>
      </c>
      <c r="K80" s="4">
        <f>IF(I80=J80,"Match","MISMATCH")</f>
        <v/>
      </c>
      <c r="L80" s="4">
        <f>Provider_Source!I80</f>
        <v/>
      </c>
      <c r="M80" s="4">
        <f>XLOOKUP($A80,Directory_Output!$A$2:$A$201,Directory_Output!$I$2:$I$201,"NOT FOUND")</f>
        <v/>
      </c>
      <c r="N80" s="4">
        <f>IF(L80=M80,"Match","MISMATCH")</f>
        <v/>
      </c>
      <c r="O80" s="4">
        <f>Provider_Source!J80</f>
        <v/>
      </c>
      <c r="P80" s="4">
        <f>XLOOKUP($A80,Directory_Output!$A$2:$A$201,Directory_Output!$J$2:$J$201,"NOT FOUND")</f>
        <v/>
      </c>
      <c r="Q80" s="4">
        <f>IF(O80=P80,"Match","MISMATCH")</f>
        <v/>
      </c>
      <c r="R80" s="4">
        <f>COUNTIF(E80:Q80,"MISMATCH")</f>
        <v/>
      </c>
      <c r="S80" s="4">
        <f>IF(R80=0,"Clean","Needs Review")</f>
        <v/>
      </c>
    </row>
    <row r="81">
      <c r="A81" s="4">
        <f>Provider_Source!A81</f>
        <v/>
      </c>
      <c r="B81" s="4">
        <f>Provider_Source!B81</f>
        <v/>
      </c>
      <c r="C81" s="4">
        <f>Provider_Source!H81</f>
        <v/>
      </c>
      <c r="D81" s="4">
        <f>XLOOKUP($A81,Directory_Output!$A$2:$A$201,Directory_Output!$H$2:$H$201,"NOT FOUND")</f>
        <v/>
      </c>
      <c r="E81" s="4">
        <f>IF(C81=D81,"Match","MISMATCH")</f>
        <v/>
      </c>
      <c r="F81" s="4">
        <f>Provider_Source!D81</f>
        <v/>
      </c>
      <c r="G81" s="4">
        <f>XLOOKUP($A81,Directory_Output!$A$2:$A$201,Directory_Output!$D$2:$D$201,"NOT FOUND")</f>
        <v/>
      </c>
      <c r="H81" s="4">
        <f>IF(F81=G81,"Match","MISMATCH")</f>
        <v/>
      </c>
      <c r="I81" s="4">
        <f>Provider_Source!C81</f>
        <v/>
      </c>
      <c r="J81" s="4">
        <f>XLOOKUP($A81,Directory_Output!$A$2:$A$201,Directory_Output!$C$2:$C$201,"NOT FOUND")</f>
        <v/>
      </c>
      <c r="K81" s="4">
        <f>IF(I81=J81,"Match","MISMATCH")</f>
        <v/>
      </c>
      <c r="L81" s="4">
        <f>Provider_Source!I81</f>
        <v/>
      </c>
      <c r="M81" s="4">
        <f>XLOOKUP($A81,Directory_Output!$A$2:$A$201,Directory_Output!$I$2:$I$201,"NOT FOUND")</f>
        <v/>
      </c>
      <c r="N81" s="4">
        <f>IF(L81=M81,"Match","MISMATCH")</f>
        <v/>
      </c>
      <c r="O81" s="4">
        <f>Provider_Source!J81</f>
        <v/>
      </c>
      <c r="P81" s="4">
        <f>XLOOKUP($A81,Directory_Output!$A$2:$A$201,Directory_Output!$J$2:$J$201,"NOT FOUND")</f>
        <v/>
      </c>
      <c r="Q81" s="4">
        <f>IF(O81=P81,"Match","MISMATCH")</f>
        <v/>
      </c>
      <c r="R81" s="4">
        <f>COUNTIF(E81:Q81,"MISMATCH")</f>
        <v/>
      </c>
      <c r="S81" s="4">
        <f>IF(R81=0,"Clean","Needs Review")</f>
        <v/>
      </c>
    </row>
    <row r="82">
      <c r="A82" s="4">
        <f>Provider_Source!A82</f>
        <v/>
      </c>
      <c r="B82" s="4">
        <f>Provider_Source!B82</f>
        <v/>
      </c>
      <c r="C82" s="4">
        <f>Provider_Source!H82</f>
        <v/>
      </c>
      <c r="D82" s="4">
        <f>XLOOKUP($A82,Directory_Output!$A$2:$A$201,Directory_Output!$H$2:$H$201,"NOT FOUND")</f>
        <v/>
      </c>
      <c r="E82" s="4">
        <f>IF(C82=D82,"Match","MISMATCH")</f>
        <v/>
      </c>
      <c r="F82" s="4">
        <f>Provider_Source!D82</f>
        <v/>
      </c>
      <c r="G82" s="4">
        <f>XLOOKUP($A82,Directory_Output!$A$2:$A$201,Directory_Output!$D$2:$D$201,"NOT FOUND")</f>
        <v/>
      </c>
      <c r="H82" s="4">
        <f>IF(F82=G82,"Match","MISMATCH")</f>
        <v/>
      </c>
      <c r="I82" s="4">
        <f>Provider_Source!C82</f>
        <v/>
      </c>
      <c r="J82" s="4">
        <f>XLOOKUP($A82,Directory_Output!$A$2:$A$201,Directory_Output!$C$2:$C$201,"NOT FOUND")</f>
        <v/>
      </c>
      <c r="K82" s="4">
        <f>IF(I82=J82,"Match","MISMATCH")</f>
        <v/>
      </c>
      <c r="L82" s="4">
        <f>Provider_Source!I82</f>
        <v/>
      </c>
      <c r="M82" s="4">
        <f>XLOOKUP($A82,Directory_Output!$A$2:$A$201,Directory_Output!$I$2:$I$201,"NOT FOUND")</f>
        <v/>
      </c>
      <c r="N82" s="4">
        <f>IF(L82=M82,"Match","MISMATCH")</f>
        <v/>
      </c>
      <c r="O82" s="4">
        <f>Provider_Source!J82</f>
        <v/>
      </c>
      <c r="P82" s="4">
        <f>XLOOKUP($A82,Directory_Output!$A$2:$A$201,Directory_Output!$J$2:$J$201,"NOT FOUND")</f>
        <v/>
      </c>
      <c r="Q82" s="4">
        <f>IF(O82=P82,"Match","MISMATCH")</f>
        <v/>
      </c>
      <c r="R82" s="4">
        <f>COUNTIF(E82:Q82,"MISMATCH")</f>
        <v/>
      </c>
      <c r="S82" s="4">
        <f>IF(R82=0,"Clean","Needs Review")</f>
        <v/>
      </c>
    </row>
    <row r="83">
      <c r="A83" s="4">
        <f>Provider_Source!A83</f>
        <v/>
      </c>
      <c r="B83" s="4">
        <f>Provider_Source!B83</f>
        <v/>
      </c>
      <c r="C83" s="4">
        <f>Provider_Source!H83</f>
        <v/>
      </c>
      <c r="D83" s="4">
        <f>XLOOKUP($A83,Directory_Output!$A$2:$A$201,Directory_Output!$H$2:$H$201,"NOT FOUND")</f>
        <v/>
      </c>
      <c r="E83" s="4">
        <f>IF(C83=D83,"Match","MISMATCH")</f>
        <v/>
      </c>
      <c r="F83" s="4">
        <f>Provider_Source!D83</f>
        <v/>
      </c>
      <c r="G83" s="4">
        <f>XLOOKUP($A83,Directory_Output!$A$2:$A$201,Directory_Output!$D$2:$D$201,"NOT FOUND")</f>
        <v/>
      </c>
      <c r="H83" s="4">
        <f>IF(F83=G83,"Match","MISMATCH")</f>
        <v/>
      </c>
      <c r="I83" s="4">
        <f>Provider_Source!C83</f>
        <v/>
      </c>
      <c r="J83" s="4">
        <f>XLOOKUP($A83,Directory_Output!$A$2:$A$201,Directory_Output!$C$2:$C$201,"NOT FOUND")</f>
        <v/>
      </c>
      <c r="K83" s="4">
        <f>IF(I83=J83,"Match","MISMATCH")</f>
        <v/>
      </c>
      <c r="L83" s="4">
        <f>Provider_Source!I83</f>
        <v/>
      </c>
      <c r="M83" s="4">
        <f>XLOOKUP($A83,Directory_Output!$A$2:$A$201,Directory_Output!$I$2:$I$201,"NOT FOUND")</f>
        <v/>
      </c>
      <c r="N83" s="4">
        <f>IF(L83=M83,"Match","MISMATCH")</f>
        <v/>
      </c>
      <c r="O83" s="4">
        <f>Provider_Source!J83</f>
        <v/>
      </c>
      <c r="P83" s="4">
        <f>XLOOKUP($A83,Directory_Output!$A$2:$A$201,Directory_Output!$J$2:$J$201,"NOT FOUND")</f>
        <v/>
      </c>
      <c r="Q83" s="4">
        <f>IF(O83=P83,"Match","MISMATCH")</f>
        <v/>
      </c>
      <c r="R83" s="4">
        <f>COUNTIF(E83:Q83,"MISMATCH")</f>
        <v/>
      </c>
      <c r="S83" s="4">
        <f>IF(R83=0,"Clean","Needs Review")</f>
        <v/>
      </c>
    </row>
    <row r="84">
      <c r="A84" s="4">
        <f>Provider_Source!A84</f>
        <v/>
      </c>
      <c r="B84" s="4">
        <f>Provider_Source!B84</f>
        <v/>
      </c>
      <c r="C84" s="4">
        <f>Provider_Source!H84</f>
        <v/>
      </c>
      <c r="D84" s="4">
        <f>XLOOKUP($A84,Directory_Output!$A$2:$A$201,Directory_Output!$H$2:$H$201,"NOT FOUND")</f>
        <v/>
      </c>
      <c r="E84" s="4">
        <f>IF(C84=D84,"Match","MISMATCH")</f>
        <v/>
      </c>
      <c r="F84" s="4">
        <f>Provider_Source!D84</f>
        <v/>
      </c>
      <c r="G84" s="4">
        <f>XLOOKUP($A84,Directory_Output!$A$2:$A$201,Directory_Output!$D$2:$D$201,"NOT FOUND")</f>
        <v/>
      </c>
      <c r="H84" s="4">
        <f>IF(F84=G84,"Match","MISMATCH")</f>
        <v/>
      </c>
      <c r="I84" s="4">
        <f>Provider_Source!C84</f>
        <v/>
      </c>
      <c r="J84" s="4">
        <f>XLOOKUP($A84,Directory_Output!$A$2:$A$201,Directory_Output!$C$2:$C$201,"NOT FOUND")</f>
        <v/>
      </c>
      <c r="K84" s="4">
        <f>IF(I84=J84,"Match","MISMATCH")</f>
        <v/>
      </c>
      <c r="L84" s="4">
        <f>Provider_Source!I84</f>
        <v/>
      </c>
      <c r="M84" s="4">
        <f>XLOOKUP($A84,Directory_Output!$A$2:$A$201,Directory_Output!$I$2:$I$201,"NOT FOUND")</f>
        <v/>
      </c>
      <c r="N84" s="4">
        <f>IF(L84=M84,"Match","MISMATCH")</f>
        <v/>
      </c>
      <c r="O84" s="4">
        <f>Provider_Source!J84</f>
        <v/>
      </c>
      <c r="P84" s="4">
        <f>XLOOKUP($A84,Directory_Output!$A$2:$A$201,Directory_Output!$J$2:$J$201,"NOT FOUND")</f>
        <v/>
      </c>
      <c r="Q84" s="4">
        <f>IF(O84=P84,"Match","MISMATCH")</f>
        <v/>
      </c>
      <c r="R84" s="4">
        <f>COUNTIF(E84:Q84,"MISMATCH")</f>
        <v/>
      </c>
      <c r="S84" s="4">
        <f>IF(R84=0,"Clean","Needs Review")</f>
        <v/>
      </c>
    </row>
    <row r="85">
      <c r="A85" s="4">
        <f>Provider_Source!A85</f>
        <v/>
      </c>
      <c r="B85" s="4">
        <f>Provider_Source!B85</f>
        <v/>
      </c>
      <c r="C85" s="4">
        <f>Provider_Source!H85</f>
        <v/>
      </c>
      <c r="D85" s="4">
        <f>XLOOKUP($A85,Directory_Output!$A$2:$A$201,Directory_Output!$H$2:$H$201,"NOT FOUND")</f>
        <v/>
      </c>
      <c r="E85" s="4">
        <f>IF(C85=D85,"Match","MISMATCH")</f>
        <v/>
      </c>
      <c r="F85" s="4">
        <f>Provider_Source!D85</f>
        <v/>
      </c>
      <c r="G85" s="4">
        <f>XLOOKUP($A85,Directory_Output!$A$2:$A$201,Directory_Output!$D$2:$D$201,"NOT FOUND")</f>
        <v/>
      </c>
      <c r="H85" s="4">
        <f>IF(F85=G85,"Match","MISMATCH")</f>
        <v/>
      </c>
      <c r="I85" s="4">
        <f>Provider_Source!C85</f>
        <v/>
      </c>
      <c r="J85" s="4">
        <f>XLOOKUP($A85,Directory_Output!$A$2:$A$201,Directory_Output!$C$2:$C$201,"NOT FOUND")</f>
        <v/>
      </c>
      <c r="K85" s="4">
        <f>IF(I85=J85,"Match","MISMATCH")</f>
        <v/>
      </c>
      <c r="L85" s="4">
        <f>Provider_Source!I85</f>
        <v/>
      </c>
      <c r="M85" s="4">
        <f>XLOOKUP($A85,Directory_Output!$A$2:$A$201,Directory_Output!$I$2:$I$201,"NOT FOUND")</f>
        <v/>
      </c>
      <c r="N85" s="4">
        <f>IF(L85=M85,"Match","MISMATCH")</f>
        <v/>
      </c>
      <c r="O85" s="4">
        <f>Provider_Source!J85</f>
        <v/>
      </c>
      <c r="P85" s="4">
        <f>XLOOKUP($A85,Directory_Output!$A$2:$A$201,Directory_Output!$J$2:$J$201,"NOT FOUND")</f>
        <v/>
      </c>
      <c r="Q85" s="4">
        <f>IF(O85=P85,"Match","MISMATCH")</f>
        <v/>
      </c>
      <c r="R85" s="4">
        <f>COUNTIF(E85:Q85,"MISMATCH")</f>
        <v/>
      </c>
      <c r="S85" s="4">
        <f>IF(R85=0,"Clean","Needs Review")</f>
        <v/>
      </c>
    </row>
    <row r="86">
      <c r="A86" s="4">
        <f>Provider_Source!A86</f>
        <v/>
      </c>
      <c r="B86" s="4">
        <f>Provider_Source!B86</f>
        <v/>
      </c>
      <c r="C86" s="4">
        <f>Provider_Source!H86</f>
        <v/>
      </c>
      <c r="D86" s="4">
        <f>XLOOKUP($A86,Directory_Output!$A$2:$A$201,Directory_Output!$H$2:$H$201,"NOT FOUND")</f>
        <v/>
      </c>
      <c r="E86" s="4">
        <f>IF(C86=D86,"Match","MISMATCH")</f>
        <v/>
      </c>
      <c r="F86" s="4">
        <f>Provider_Source!D86</f>
        <v/>
      </c>
      <c r="G86" s="4">
        <f>XLOOKUP($A86,Directory_Output!$A$2:$A$201,Directory_Output!$D$2:$D$201,"NOT FOUND")</f>
        <v/>
      </c>
      <c r="H86" s="4">
        <f>IF(F86=G86,"Match","MISMATCH")</f>
        <v/>
      </c>
      <c r="I86" s="4">
        <f>Provider_Source!C86</f>
        <v/>
      </c>
      <c r="J86" s="4">
        <f>XLOOKUP($A86,Directory_Output!$A$2:$A$201,Directory_Output!$C$2:$C$201,"NOT FOUND")</f>
        <v/>
      </c>
      <c r="K86" s="4">
        <f>IF(I86=J86,"Match","MISMATCH")</f>
        <v/>
      </c>
      <c r="L86" s="4">
        <f>Provider_Source!I86</f>
        <v/>
      </c>
      <c r="M86" s="4">
        <f>XLOOKUP($A86,Directory_Output!$A$2:$A$201,Directory_Output!$I$2:$I$201,"NOT FOUND")</f>
        <v/>
      </c>
      <c r="N86" s="4">
        <f>IF(L86=M86,"Match","MISMATCH")</f>
        <v/>
      </c>
      <c r="O86" s="4">
        <f>Provider_Source!J86</f>
        <v/>
      </c>
      <c r="P86" s="4">
        <f>XLOOKUP($A86,Directory_Output!$A$2:$A$201,Directory_Output!$J$2:$J$201,"NOT FOUND")</f>
        <v/>
      </c>
      <c r="Q86" s="4">
        <f>IF(O86=P86,"Match","MISMATCH")</f>
        <v/>
      </c>
      <c r="R86" s="4">
        <f>COUNTIF(E86:Q86,"MISMATCH")</f>
        <v/>
      </c>
      <c r="S86" s="4">
        <f>IF(R86=0,"Clean","Needs Review")</f>
        <v/>
      </c>
    </row>
    <row r="87">
      <c r="A87" s="4">
        <f>Provider_Source!A87</f>
        <v/>
      </c>
      <c r="B87" s="4">
        <f>Provider_Source!B87</f>
        <v/>
      </c>
      <c r="C87" s="4">
        <f>Provider_Source!H87</f>
        <v/>
      </c>
      <c r="D87" s="4">
        <f>XLOOKUP($A87,Directory_Output!$A$2:$A$201,Directory_Output!$H$2:$H$201,"NOT FOUND")</f>
        <v/>
      </c>
      <c r="E87" s="4">
        <f>IF(C87=D87,"Match","MISMATCH")</f>
        <v/>
      </c>
      <c r="F87" s="4">
        <f>Provider_Source!D87</f>
        <v/>
      </c>
      <c r="G87" s="4">
        <f>XLOOKUP($A87,Directory_Output!$A$2:$A$201,Directory_Output!$D$2:$D$201,"NOT FOUND")</f>
        <v/>
      </c>
      <c r="H87" s="4">
        <f>IF(F87=G87,"Match","MISMATCH")</f>
        <v/>
      </c>
      <c r="I87" s="4">
        <f>Provider_Source!C87</f>
        <v/>
      </c>
      <c r="J87" s="4">
        <f>XLOOKUP($A87,Directory_Output!$A$2:$A$201,Directory_Output!$C$2:$C$201,"NOT FOUND")</f>
        <v/>
      </c>
      <c r="K87" s="4">
        <f>IF(I87=J87,"Match","MISMATCH")</f>
        <v/>
      </c>
      <c r="L87" s="4">
        <f>Provider_Source!I87</f>
        <v/>
      </c>
      <c r="M87" s="4">
        <f>XLOOKUP($A87,Directory_Output!$A$2:$A$201,Directory_Output!$I$2:$I$201,"NOT FOUND")</f>
        <v/>
      </c>
      <c r="N87" s="4">
        <f>IF(L87=M87,"Match","MISMATCH")</f>
        <v/>
      </c>
      <c r="O87" s="4">
        <f>Provider_Source!J87</f>
        <v/>
      </c>
      <c r="P87" s="4">
        <f>XLOOKUP($A87,Directory_Output!$A$2:$A$201,Directory_Output!$J$2:$J$201,"NOT FOUND")</f>
        <v/>
      </c>
      <c r="Q87" s="4">
        <f>IF(O87=P87,"Match","MISMATCH")</f>
        <v/>
      </c>
      <c r="R87" s="4">
        <f>COUNTIF(E87:Q87,"MISMATCH")</f>
        <v/>
      </c>
      <c r="S87" s="4">
        <f>IF(R87=0,"Clean","Needs Review")</f>
        <v/>
      </c>
    </row>
    <row r="88">
      <c r="A88" s="4">
        <f>Provider_Source!A88</f>
        <v/>
      </c>
      <c r="B88" s="4">
        <f>Provider_Source!B88</f>
        <v/>
      </c>
      <c r="C88" s="4">
        <f>Provider_Source!H88</f>
        <v/>
      </c>
      <c r="D88" s="4">
        <f>XLOOKUP($A88,Directory_Output!$A$2:$A$201,Directory_Output!$H$2:$H$201,"NOT FOUND")</f>
        <v/>
      </c>
      <c r="E88" s="4">
        <f>IF(C88=D88,"Match","MISMATCH")</f>
        <v/>
      </c>
      <c r="F88" s="4">
        <f>Provider_Source!D88</f>
        <v/>
      </c>
      <c r="G88" s="4">
        <f>XLOOKUP($A88,Directory_Output!$A$2:$A$201,Directory_Output!$D$2:$D$201,"NOT FOUND")</f>
        <v/>
      </c>
      <c r="H88" s="4">
        <f>IF(F88=G88,"Match","MISMATCH")</f>
        <v/>
      </c>
      <c r="I88" s="4">
        <f>Provider_Source!C88</f>
        <v/>
      </c>
      <c r="J88" s="4">
        <f>XLOOKUP($A88,Directory_Output!$A$2:$A$201,Directory_Output!$C$2:$C$201,"NOT FOUND")</f>
        <v/>
      </c>
      <c r="K88" s="4">
        <f>IF(I88=J88,"Match","MISMATCH")</f>
        <v/>
      </c>
      <c r="L88" s="4">
        <f>Provider_Source!I88</f>
        <v/>
      </c>
      <c r="M88" s="4">
        <f>XLOOKUP($A88,Directory_Output!$A$2:$A$201,Directory_Output!$I$2:$I$201,"NOT FOUND")</f>
        <v/>
      </c>
      <c r="N88" s="4">
        <f>IF(L88=M88,"Match","MISMATCH")</f>
        <v/>
      </c>
      <c r="O88" s="4">
        <f>Provider_Source!J88</f>
        <v/>
      </c>
      <c r="P88" s="4">
        <f>XLOOKUP($A88,Directory_Output!$A$2:$A$201,Directory_Output!$J$2:$J$201,"NOT FOUND")</f>
        <v/>
      </c>
      <c r="Q88" s="4">
        <f>IF(O88=P88,"Match","MISMATCH")</f>
        <v/>
      </c>
      <c r="R88" s="4">
        <f>COUNTIF(E88:Q88,"MISMATCH")</f>
        <v/>
      </c>
      <c r="S88" s="4">
        <f>IF(R88=0,"Clean","Needs Review")</f>
        <v/>
      </c>
    </row>
    <row r="89">
      <c r="A89" s="4">
        <f>Provider_Source!A89</f>
        <v/>
      </c>
      <c r="B89" s="4">
        <f>Provider_Source!B89</f>
        <v/>
      </c>
      <c r="C89" s="4">
        <f>Provider_Source!H89</f>
        <v/>
      </c>
      <c r="D89" s="4">
        <f>XLOOKUP($A89,Directory_Output!$A$2:$A$201,Directory_Output!$H$2:$H$201,"NOT FOUND")</f>
        <v/>
      </c>
      <c r="E89" s="4">
        <f>IF(C89=D89,"Match","MISMATCH")</f>
        <v/>
      </c>
      <c r="F89" s="4">
        <f>Provider_Source!D89</f>
        <v/>
      </c>
      <c r="G89" s="4">
        <f>XLOOKUP($A89,Directory_Output!$A$2:$A$201,Directory_Output!$D$2:$D$201,"NOT FOUND")</f>
        <v/>
      </c>
      <c r="H89" s="4">
        <f>IF(F89=G89,"Match","MISMATCH")</f>
        <v/>
      </c>
      <c r="I89" s="4">
        <f>Provider_Source!C89</f>
        <v/>
      </c>
      <c r="J89" s="4">
        <f>XLOOKUP($A89,Directory_Output!$A$2:$A$201,Directory_Output!$C$2:$C$201,"NOT FOUND")</f>
        <v/>
      </c>
      <c r="K89" s="4">
        <f>IF(I89=J89,"Match","MISMATCH")</f>
        <v/>
      </c>
      <c r="L89" s="4">
        <f>Provider_Source!I89</f>
        <v/>
      </c>
      <c r="M89" s="4">
        <f>XLOOKUP($A89,Directory_Output!$A$2:$A$201,Directory_Output!$I$2:$I$201,"NOT FOUND")</f>
        <v/>
      </c>
      <c r="N89" s="4">
        <f>IF(L89=M89,"Match","MISMATCH")</f>
        <v/>
      </c>
      <c r="O89" s="4">
        <f>Provider_Source!J89</f>
        <v/>
      </c>
      <c r="P89" s="4">
        <f>XLOOKUP($A89,Directory_Output!$A$2:$A$201,Directory_Output!$J$2:$J$201,"NOT FOUND")</f>
        <v/>
      </c>
      <c r="Q89" s="4">
        <f>IF(O89=P89,"Match","MISMATCH")</f>
        <v/>
      </c>
      <c r="R89" s="4">
        <f>COUNTIF(E89:Q89,"MISMATCH")</f>
        <v/>
      </c>
      <c r="S89" s="4">
        <f>IF(R89=0,"Clean","Needs Review")</f>
        <v/>
      </c>
    </row>
    <row r="90">
      <c r="A90" s="4">
        <f>Provider_Source!A90</f>
        <v/>
      </c>
      <c r="B90" s="4">
        <f>Provider_Source!B90</f>
        <v/>
      </c>
      <c r="C90" s="4">
        <f>Provider_Source!H90</f>
        <v/>
      </c>
      <c r="D90" s="4">
        <f>XLOOKUP($A90,Directory_Output!$A$2:$A$201,Directory_Output!$H$2:$H$201,"NOT FOUND")</f>
        <v/>
      </c>
      <c r="E90" s="4">
        <f>IF(C90=D90,"Match","MISMATCH")</f>
        <v/>
      </c>
      <c r="F90" s="4">
        <f>Provider_Source!D90</f>
        <v/>
      </c>
      <c r="G90" s="4">
        <f>XLOOKUP($A90,Directory_Output!$A$2:$A$201,Directory_Output!$D$2:$D$201,"NOT FOUND")</f>
        <v/>
      </c>
      <c r="H90" s="4">
        <f>IF(F90=G90,"Match","MISMATCH")</f>
        <v/>
      </c>
      <c r="I90" s="4">
        <f>Provider_Source!C90</f>
        <v/>
      </c>
      <c r="J90" s="4">
        <f>XLOOKUP($A90,Directory_Output!$A$2:$A$201,Directory_Output!$C$2:$C$201,"NOT FOUND")</f>
        <v/>
      </c>
      <c r="K90" s="4">
        <f>IF(I90=J90,"Match","MISMATCH")</f>
        <v/>
      </c>
      <c r="L90" s="4">
        <f>Provider_Source!I90</f>
        <v/>
      </c>
      <c r="M90" s="4">
        <f>XLOOKUP($A90,Directory_Output!$A$2:$A$201,Directory_Output!$I$2:$I$201,"NOT FOUND")</f>
        <v/>
      </c>
      <c r="N90" s="4">
        <f>IF(L90=M90,"Match","MISMATCH")</f>
        <v/>
      </c>
      <c r="O90" s="4">
        <f>Provider_Source!J90</f>
        <v/>
      </c>
      <c r="P90" s="4">
        <f>XLOOKUP($A90,Directory_Output!$A$2:$A$201,Directory_Output!$J$2:$J$201,"NOT FOUND")</f>
        <v/>
      </c>
      <c r="Q90" s="4">
        <f>IF(O90=P90,"Match","MISMATCH")</f>
        <v/>
      </c>
      <c r="R90" s="4">
        <f>COUNTIF(E90:Q90,"MISMATCH")</f>
        <v/>
      </c>
      <c r="S90" s="4">
        <f>IF(R90=0,"Clean","Needs Review")</f>
        <v/>
      </c>
    </row>
    <row r="91">
      <c r="A91" s="4">
        <f>Provider_Source!A91</f>
        <v/>
      </c>
      <c r="B91" s="4">
        <f>Provider_Source!B91</f>
        <v/>
      </c>
      <c r="C91" s="4">
        <f>Provider_Source!H91</f>
        <v/>
      </c>
      <c r="D91" s="4">
        <f>XLOOKUP($A91,Directory_Output!$A$2:$A$201,Directory_Output!$H$2:$H$201,"NOT FOUND")</f>
        <v/>
      </c>
      <c r="E91" s="4">
        <f>IF(C91=D91,"Match","MISMATCH")</f>
        <v/>
      </c>
      <c r="F91" s="4">
        <f>Provider_Source!D91</f>
        <v/>
      </c>
      <c r="G91" s="4">
        <f>XLOOKUP($A91,Directory_Output!$A$2:$A$201,Directory_Output!$D$2:$D$201,"NOT FOUND")</f>
        <v/>
      </c>
      <c r="H91" s="4">
        <f>IF(F91=G91,"Match","MISMATCH")</f>
        <v/>
      </c>
      <c r="I91" s="4">
        <f>Provider_Source!C91</f>
        <v/>
      </c>
      <c r="J91" s="4">
        <f>XLOOKUP($A91,Directory_Output!$A$2:$A$201,Directory_Output!$C$2:$C$201,"NOT FOUND")</f>
        <v/>
      </c>
      <c r="K91" s="4">
        <f>IF(I91=J91,"Match","MISMATCH")</f>
        <v/>
      </c>
      <c r="L91" s="4">
        <f>Provider_Source!I91</f>
        <v/>
      </c>
      <c r="M91" s="4">
        <f>XLOOKUP($A91,Directory_Output!$A$2:$A$201,Directory_Output!$I$2:$I$201,"NOT FOUND")</f>
        <v/>
      </c>
      <c r="N91" s="4">
        <f>IF(L91=M91,"Match","MISMATCH")</f>
        <v/>
      </c>
      <c r="O91" s="4">
        <f>Provider_Source!J91</f>
        <v/>
      </c>
      <c r="P91" s="4">
        <f>XLOOKUP($A91,Directory_Output!$A$2:$A$201,Directory_Output!$J$2:$J$201,"NOT FOUND")</f>
        <v/>
      </c>
      <c r="Q91" s="4">
        <f>IF(O91=P91,"Match","MISMATCH")</f>
        <v/>
      </c>
      <c r="R91" s="4">
        <f>COUNTIF(E91:Q91,"MISMATCH")</f>
        <v/>
      </c>
      <c r="S91" s="4">
        <f>IF(R91=0,"Clean","Needs Review")</f>
        <v/>
      </c>
    </row>
    <row r="92">
      <c r="A92" s="4">
        <f>Provider_Source!A92</f>
        <v/>
      </c>
      <c r="B92" s="4">
        <f>Provider_Source!B92</f>
        <v/>
      </c>
      <c r="C92" s="4">
        <f>Provider_Source!H92</f>
        <v/>
      </c>
      <c r="D92" s="4">
        <f>XLOOKUP($A92,Directory_Output!$A$2:$A$201,Directory_Output!$H$2:$H$201,"NOT FOUND")</f>
        <v/>
      </c>
      <c r="E92" s="4">
        <f>IF(C92=D92,"Match","MISMATCH")</f>
        <v/>
      </c>
      <c r="F92" s="4">
        <f>Provider_Source!D92</f>
        <v/>
      </c>
      <c r="G92" s="4">
        <f>XLOOKUP($A92,Directory_Output!$A$2:$A$201,Directory_Output!$D$2:$D$201,"NOT FOUND")</f>
        <v/>
      </c>
      <c r="H92" s="4">
        <f>IF(F92=G92,"Match","MISMATCH")</f>
        <v/>
      </c>
      <c r="I92" s="4">
        <f>Provider_Source!C92</f>
        <v/>
      </c>
      <c r="J92" s="4">
        <f>XLOOKUP($A92,Directory_Output!$A$2:$A$201,Directory_Output!$C$2:$C$201,"NOT FOUND")</f>
        <v/>
      </c>
      <c r="K92" s="4">
        <f>IF(I92=J92,"Match","MISMATCH")</f>
        <v/>
      </c>
      <c r="L92" s="4">
        <f>Provider_Source!I92</f>
        <v/>
      </c>
      <c r="M92" s="4">
        <f>XLOOKUP($A92,Directory_Output!$A$2:$A$201,Directory_Output!$I$2:$I$201,"NOT FOUND")</f>
        <v/>
      </c>
      <c r="N92" s="4">
        <f>IF(L92=M92,"Match","MISMATCH")</f>
        <v/>
      </c>
      <c r="O92" s="4">
        <f>Provider_Source!J92</f>
        <v/>
      </c>
      <c r="P92" s="4">
        <f>XLOOKUP($A92,Directory_Output!$A$2:$A$201,Directory_Output!$J$2:$J$201,"NOT FOUND")</f>
        <v/>
      </c>
      <c r="Q92" s="4">
        <f>IF(O92=P92,"Match","MISMATCH")</f>
        <v/>
      </c>
      <c r="R92" s="4">
        <f>COUNTIF(E92:Q92,"MISMATCH")</f>
        <v/>
      </c>
      <c r="S92" s="4">
        <f>IF(R92=0,"Clean","Needs Review")</f>
        <v/>
      </c>
    </row>
    <row r="93">
      <c r="A93" s="4">
        <f>Provider_Source!A93</f>
        <v/>
      </c>
      <c r="B93" s="4">
        <f>Provider_Source!B93</f>
        <v/>
      </c>
      <c r="C93" s="4">
        <f>Provider_Source!H93</f>
        <v/>
      </c>
      <c r="D93" s="4">
        <f>XLOOKUP($A93,Directory_Output!$A$2:$A$201,Directory_Output!$H$2:$H$201,"NOT FOUND")</f>
        <v/>
      </c>
      <c r="E93" s="4">
        <f>IF(C93=D93,"Match","MISMATCH")</f>
        <v/>
      </c>
      <c r="F93" s="4">
        <f>Provider_Source!D93</f>
        <v/>
      </c>
      <c r="G93" s="4">
        <f>XLOOKUP($A93,Directory_Output!$A$2:$A$201,Directory_Output!$D$2:$D$201,"NOT FOUND")</f>
        <v/>
      </c>
      <c r="H93" s="4">
        <f>IF(F93=G93,"Match","MISMATCH")</f>
        <v/>
      </c>
      <c r="I93" s="4">
        <f>Provider_Source!C93</f>
        <v/>
      </c>
      <c r="J93" s="4">
        <f>XLOOKUP($A93,Directory_Output!$A$2:$A$201,Directory_Output!$C$2:$C$201,"NOT FOUND")</f>
        <v/>
      </c>
      <c r="K93" s="4">
        <f>IF(I93=J93,"Match","MISMATCH")</f>
        <v/>
      </c>
      <c r="L93" s="4">
        <f>Provider_Source!I93</f>
        <v/>
      </c>
      <c r="M93" s="4">
        <f>XLOOKUP($A93,Directory_Output!$A$2:$A$201,Directory_Output!$I$2:$I$201,"NOT FOUND")</f>
        <v/>
      </c>
      <c r="N93" s="4">
        <f>IF(L93=M93,"Match","MISMATCH")</f>
        <v/>
      </c>
      <c r="O93" s="4">
        <f>Provider_Source!J93</f>
        <v/>
      </c>
      <c r="P93" s="4">
        <f>XLOOKUP($A93,Directory_Output!$A$2:$A$201,Directory_Output!$J$2:$J$201,"NOT FOUND")</f>
        <v/>
      </c>
      <c r="Q93" s="4">
        <f>IF(O93=P93,"Match","MISMATCH")</f>
        <v/>
      </c>
      <c r="R93" s="4">
        <f>COUNTIF(E93:Q93,"MISMATCH")</f>
        <v/>
      </c>
      <c r="S93" s="4">
        <f>IF(R93=0,"Clean","Needs Review")</f>
        <v/>
      </c>
    </row>
    <row r="94">
      <c r="A94" s="4">
        <f>Provider_Source!A94</f>
        <v/>
      </c>
      <c r="B94" s="4">
        <f>Provider_Source!B94</f>
        <v/>
      </c>
      <c r="C94" s="4">
        <f>Provider_Source!H94</f>
        <v/>
      </c>
      <c r="D94" s="4">
        <f>XLOOKUP($A94,Directory_Output!$A$2:$A$201,Directory_Output!$H$2:$H$201,"NOT FOUND")</f>
        <v/>
      </c>
      <c r="E94" s="4">
        <f>IF(C94=D94,"Match","MISMATCH")</f>
        <v/>
      </c>
      <c r="F94" s="4">
        <f>Provider_Source!D94</f>
        <v/>
      </c>
      <c r="G94" s="4">
        <f>XLOOKUP($A94,Directory_Output!$A$2:$A$201,Directory_Output!$D$2:$D$201,"NOT FOUND")</f>
        <v/>
      </c>
      <c r="H94" s="4">
        <f>IF(F94=G94,"Match","MISMATCH")</f>
        <v/>
      </c>
      <c r="I94" s="4">
        <f>Provider_Source!C94</f>
        <v/>
      </c>
      <c r="J94" s="4">
        <f>XLOOKUP($A94,Directory_Output!$A$2:$A$201,Directory_Output!$C$2:$C$201,"NOT FOUND")</f>
        <v/>
      </c>
      <c r="K94" s="4">
        <f>IF(I94=J94,"Match","MISMATCH")</f>
        <v/>
      </c>
      <c r="L94" s="4">
        <f>Provider_Source!I94</f>
        <v/>
      </c>
      <c r="M94" s="4">
        <f>XLOOKUP($A94,Directory_Output!$A$2:$A$201,Directory_Output!$I$2:$I$201,"NOT FOUND")</f>
        <v/>
      </c>
      <c r="N94" s="4">
        <f>IF(L94=M94,"Match","MISMATCH")</f>
        <v/>
      </c>
      <c r="O94" s="4">
        <f>Provider_Source!J94</f>
        <v/>
      </c>
      <c r="P94" s="4">
        <f>XLOOKUP($A94,Directory_Output!$A$2:$A$201,Directory_Output!$J$2:$J$201,"NOT FOUND")</f>
        <v/>
      </c>
      <c r="Q94" s="4">
        <f>IF(O94=P94,"Match","MISMATCH")</f>
        <v/>
      </c>
      <c r="R94" s="4">
        <f>COUNTIF(E94:Q94,"MISMATCH")</f>
        <v/>
      </c>
      <c r="S94" s="4">
        <f>IF(R94=0,"Clean","Needs Review")</f>
        <v/>
      </c>
    </row>
    <row r="95">
      <c r="A95" s="4">
        <f>Provider_Source!A95</f>
        <v/>
      </c>
      <c r="B95" s="4">
        <f>Provider_Source!B95</f>
        <v/>
      </c>
      <c r="C95" s="4">
        <f>Provider_Source!H95</f>
        <v/>
      </c>
      <c r="D95" s="4">
        <f>XLOOKUP($A95,Directory_Output!$A$2:$A$201,Directory_Output!$H$2:$H$201,"NOT FOUND")</f>
        <v/>
      </c>
      <c r="E95" s="4">
        <f>IF(C95=D95,"Match","MISMATCH")</f>
        <v/>
      </c>
      <c r="F95" s="4">
        <f>Provider_Source!D95</f>
        <v/>
      </c>
      <c r="G95" s="4">
        <f>XLOOKUP($A95,Directory_Output!$A$2:$A$201,Directory_Output!$D$2:$D$201,"NOT FOUND")</f>
        <v/>
      </c>
      <c r="H95" s="4">
        <f>IF(F95=G95,"Match","MISMATCH")</f>
        <v/>
      </c>
      <c r="I95" s="4">
        <f>Provider_Source!C95</f>
        <v/>
      </c>
      <c r="J95" s="4">
        <f>XLOOKUP($A95,Directory_Output!$A$2:$A$201,Directory_Output!$C$2:$C$201,"NOT FOUND")</f>
        <v/>
      </c>
      <c r="K95" s="4">
        <f>IF(I95=J95,"Match","MISMATCH")</f>
        <v/>
      </c>
      <c r="L95" s="4">
        <f>Provider_Source!I95</f>
        <v/>
      </c>
      <c r="M95" s="4">
        <f>XLOOKUP($A95,Directory_Output!$A$2:$A$201,Directory_Output!$I$2:$I$201,"NOT FOUND")</f>
        <v/>
      </c>
      <c r="N95" s="4">
        <f>IF(L95=M95,"Match","MISMATCH")</f>
        <v/>
      </c>
      <c r="O95" s="4">
        <f>Provider_Source!J95</f>
        <v/>
      </c>
      <c r="P95" s="4">
        <f>XLOOKUP($A95,Directory_Output!$A$2:$A$201,Directory_Output!$J$2:$J$201,"NOT FOUND")</f>
        <v/>
      </c>
      <c r="Q95" s="4">
        <f>IF(O95=P95,"Match","MISMATCH")</f>
        <v/>
      </c>
      <c r="R95" s="4">
        <f>COUNTIF(E95:Q95,"MISMATCH")</f>
        <v/>
      </c>
      <c r="S95" s="4">
        <f>IF(R95=0,"Clean","Needs Review")</f>
        <v/>
      </c>
    </row>
    <row r="96">
      <c r="A96" s="4">
        <f>Provider_Source!A96</f>
        <v/>
      </c>
      <c r="B96" s="4">
        <f>Provider_Source!B96</f>
        <v/>
      </c>
      <c r="C96" s="4">
        <f>Provider_Source!H96</f>
        <v/>
      </c>
      <c r="D96" s="4">
        <f>XLOOKUP($A96,Directory_Output!$A$2:$A$201,Directory_Output!$H$2:$H$201,"NOT FOUND")</f>
        <v/>
      </c>
      <c r="E96" s="4">
        <f>IF(C96=D96,"Match","MISMATCH")</f>
        <v/>
      </c>
      <c r="F96" s="4">
        <f>Provider_Source!D96</f>
        <v/>
      </c>
      <c r="G96" s="4">
        <f>XLOOKUP($A96,Directory_Output!$A$2:$A$201,Directory_Output!$D$2:$D$201,"NOT FOUND")</f>
        <v/>
      </c>
      <c r="H96" s="4">
        <f>IF(F96=G96,"Match","MISMATCH")</f>
        <v/>
      </c>
      <c r="I96" s="4">
        <f>Provider_Source!C96</f>
        <v/>
      </c>
      <c r="J96" s="4">
        <f>XLOOKUP($A96,Directory_Output!$A$2:$A$201,Directory_Output!$C$2:$C$201,"NOT FOUND")</f>
        <v/>
      </c>
      <c r="K96" s="4">
        <f>IF(I96=J96,"Match","MISMATCH")</f>
        <v/>
      </c>
      <c r="L96" s="4">
        <f>Provider_Source!I96</f>
        <v/>
      </c>
      <c r="M96" s="4">
        <f>XLOOKUP($A96,Directory_Output!$A$2:$A$201,Directory_Output!$I$2:$I$201,"NOT FOUND")</f>
        <v/>
      </c>
      <c r="N96" s="4">
        <f>IF(L96=M96,"Match","MISMATCH")</f>
        <v/>
      </c>
      <c r="O96" s="4">
        <f>Provider_Source!J96</f>
        <v/>
      </c>
      <c r="P96" s="4">
        <f>XLOOKUP($A96,Directory_Output!$A$2:$A$201,Directory_Output!$J$2:$J$201,"NOT FOUND")</f>
        <v/>
      </c>
      <c r="Q96" s="4">
        <f>IF(O96=P96,"Match","MISMATCH")</f>
        <v/>
      </c>
      <c r="R96" s="4">
        <f>COUNTIF(E96:Q96,"MISMATCH")</f>
        <v/>
      </c>
      <c r="S96" s="4">
        <f>IF(R96=0,"Clean","Needs Review")</f>
        <v/>
      </c>
    </row>
    <row r="97">
      <c r="A97" s="4">
        <f>Provider_Source!A97</f>
        <v/>
      </c>
      <c r="B97" s="4">
        <f>Provider_Source!B97</f>
        <v/>
      </c>
      <c r="C97" s="4">
        <f>Provider_Source!H97</f>
        <v/>
      </c>
      <c r="D97" s="4">
        <f>XLOOKUP($A97,Directory_Output!$A$2:$A$201,Directory_Output!$H$2:$H$201,"NOT FOUND")</f>
        <v/>
      </c>
      <c r="E97" s="4">
        <f>IF(C97=D97,"Match","MISMATCH")</f>
        <v/>
      </c>
      <c r="F97" s="4">
        <f>Provider_Source!D97</f>
        <v/>
      </c>
      <c r="G97" s="4">
        <f>XLOOKUP($A97,Directory_Output!$A$2:$A$201,Directory_Output!$D$2:$D$201,"NOT FOUND")</f>
        <v/>
      </c>
      <c r="H97" s="4">
        <f>IF(F97=G97,"Match","MISMATCH")</f>
        <v/>
      </c>
      <c r="I97" s="4">
        <f>Provider_Source!C97</f>
        <v/>
      </c>
      <c r="J97" s="4">
        <f>XLOOKUP($A97,Directory_Output!$A$2:$A$201,Directory_Output!$C$2:$C$201,"NOT FOUND")</f>
        <v/>
      </c>
      <c r="K97" s="4">
        <f>IF(I97=J97,"Match","MISMATCH")</f>
        <v/>
      </c>
      <c r="L97" s="4">
        <f>Provider_Source!I97</f>
        <v/>
      </c>
      <c r="M97" s="4">
        <f>XLOOKUP($A97,Directory_Output!$A$2:$A$201,Directory_Output!$I$2:$I$201,"NOT FOUND")</f>
        <v/>
      </c>
      <c r="N97" s="4">
        <f>IF(L97=M97,"Match","MISMATCH")</f>
        <v/>
      </c>
      <c r="O97" s="4">
        <f>Provider_Source!J97</f>
        <v/>
      </c>
      <c r="P97" s="4">
        <f>XLOOKUP($A97,Directory_Output!$A$2:$A$201,Directory_Output!$J$2:$J$201,"NOT FOUND")</f>
        <v/>
      </c>
      <c r="Q97" s="4">
        <f>IF(O97=P97,"Match","MISMATCH")</f>
        <v/>
      </c>
      <c r="R97" s="4">
        <f>COUNTIF(E97:Q97,"MISMATCH")</f>
        <v/>
      </c>
      <c r="S97" s="4">
        <f>IF(R97=0,"Clean","Needs Review")</f>
        <v/>
      </c>
    </row>
    <row r="98">
      <c r="A98" s="4">
        <f>Provider_Source!A98</f>
        <v/>
      </c>
      <c r="B98" s="4">
        <f>Provider_Source!B98</f>
        <v/>
      </c>
      <c r="C98" s="4">
        <f>Provider_Source!H98</f>
        <v/>
      </c>
      <c r="D98" s="4">
        <f>XLOOKUP($A98,Directory_Output!$A$2:$A$201,Directory_Output!$H$2:$H$201,"NOT FOUND")</f>
        <v/>
      </c>
      <c r="E98" s="4">
        <f>IF(C98=D98,"Match","MISMATCH")</f>
        <v/>
      </c>
      <c r="F98" s="4">
        <f>Provider_Source!D98</f>
        <v/>
      </c>
      <c r="G98" s="4">
        <f>XLOOKUP($A98,Directory_Output!$A$2:$A$201,Directory_Output!$D$2:$D$201,"NOT FOUND")</f>
        <v/>
      </c>
      <c r="H98" s="4">
        <f>IF(F98=G98,"Match","MISMATCH")</f>
        <v/>
      </c>
      <c r="I98" s="4">
        <f>Provider_Source!C98</f>
        <v/>
      </c>
      <c r="J98" s="4">
        <f>XLOOKUP($A98,Directory_Output!$A$2:$A$201,Directory_Output!$C$2:$C$201,"NOT FOUND")</f>
        <v/>
      </c>
      <c r="K98" s="4">
        <f>IF(I98=J98,"Match","MISMATCH")</f>
        <v/>
      </c>
      <c r="L98" s="4">
        <f>Provider_Source!I98</f>
        <v/>
      </c>
      <c r="M98" s="4">
        <f>XLOOKUP($A98,Directory_Output!$A$2:$A$201,Directory_Output!$I$2:$I$201,"NOT FOUND")</f>
        <v/>
      </c>
      <c r="N98" s="4">
        <f>IF(L98=M98,"Match","MISMATCH")</f>
        <v/>
      </c>
      <c r="O98" s="4">
        <f>Provider_Source!J98</f>
        <v/>
      </c>
      <c r="P98" s="4">
        <f>XLOOKUP($A98,Directory_Output!$A$2:$A$201,Directory_Output!$J$2:$J$201,"NOT FOUND")</f>
        <v/>
      </c>
      <c r="Q98" s="4">
        <f>IF(O98=P98,"Match","MISMATCH")</f>
        <v/>
      </c>
      <c r="R98" s="4">
        <f>COUNTIF(E98:Q98,"MISMATCH")</f>
        <v/>
      </c>
      <c r="S98" s="4">
        <f>IF(R98=0,"Clean","Needs Review")</f>
        <v/>
      </c>
    </row>
    <row r="99">
      <c r="A99" s="4">
        <f>Provider_Source!A99</f>
        <v/>
      </c>
      <c r="B99" s="4">
        <f>Provider_Source!B99</f>
        <v/>
      </c>
      <c r="C99" s="4">
        <f>Provider_Source!H99</f>
        <v/>
      </c>
      <c r="D99" s="4">
        <f>XLOOKUP($A99,Directory_Output!$A$2:$A$201,Directory_Output!$H$2:$H$201,"NOT FOUND")</f>
        <v/>
      </c>
      <c r="E99" s="4">
        <f>IF(C99=D99,"Match","MISMATCH")</f>
        <v/>
      </c>
      <c r="F99" s="4">
        <f>Provider_Source!D99</f>
        <v/>
      </c>
      <c r="G99" s="4">
        <f>XLOOKUP($A99,Directory_Output!$A$2:$A$201,Directory_Output!$D$2:$D$201,"NOT FOUND")</f>
        <v/>
      </c>
      <c r="H99" s="4">
        <f>IF(F99=G99,"Match","MISMATCH")</f>
        <v/>
      </c>
      <c r="I99" s="4">
        <f>Provider_Source!C99</f>
        <v/>
      </c>
      <c r="J99" s="4">
        <f>XLOOKUP($A99,Directory_Output!$A$2:$A$201,Directory_Output!$C$2:$C$201,"NOT FOUND")</f>
        <v/>
      </c>
      <c r="K99" s="4">
        <f>IF(I99=J99,"Match","MISMATCH")</f>
        <v/>
      </c>
      <c r="L99" s="4">
        <f>Provider_Source!I99</f>
        <v/>
      </c>
      <c r="M99" s="4">
        <f>XLOOKUP($A99,Directory_Output!$A$2:$A$201,Directory_Output!$I$2:$I$201,"NOT FOUND")</f>
        <v/>
      </c>
      <c r="N99" s="4">
        <f>IF(L99=M99,"Match","MISMATCH")</f>
        <v/>
      </c>
      <c r="O99" s="4">
        <f>Provider_Source!J99</f>
        <v/>
      </c>
      <c r="P99" s="4">
        <f>XLOOKUP($A99,Directory_Output!$A$2:$A$201,Directory_Output!$J$2:$J$201,"NOT FOUND")</f>
        <v/>
      </c>
      <c r="Q99" s="4">
        <f>IF(O99=P99,"Match","MISMATCH")</f>
        <v/>
      </c>
      <c r="R99" s="4">
        <f>COUNTIF(E99:Q99,"MISMATCH")</f>
        <v/>
      </c>
      <c r="S99" s="4">
        <f>IF(R99=0,"Clean","Needs Review")</f>
        <v/>
      </c>
    </row>
    <row r="100">
      <c r="A100" s="4">
        <f>Provider_Source!A100</f>
        <v/>
      </c>
      <c r="B100" s="4">
        <f>Provider_Source!B100</f>
        <v/>
      </c>
      <c r="C100" s="4">
        <f>Provider_Source!H100</f>
        <v/>
      </c>
      <c r="D100" s="4">
        <f>XLOOKUP($A100,Directory_Output!$A$2:$A$201,Directory_Output!$H$2:$H$201,"NOT FOUND")</f>
        <v/>
      </c>
      <c r="E100" s="4">
        <f>IF(C100=D100,"Match","MISMATCH")</f>
        <v/>
      </c>
      <c r="F100" s="4">
        <f>Provider_Source!D100</f>
        <v/>
      </c>
      <c r="G100" s="4">
        <f>XLOOKUP($A100,Directory_Output!$A$2:$A$201,Directory_Output!$D$2:$D$201,"NOT FOUND")</f>
        <v/>
      </c>
      <c r="H100" s="4">
        <f>IF(F100=G100,"Match","MISMATCH")</f>
        <v/>
      </c>
      <c r="I100" s="4">
        <f>Provider_Source!C100</f>
        <v/>
      </c>
      <c r="J100" s="4">
        <f>XLOOKUP($A100,Directory_Output!$A$2:$A$201,Directory_Output!$C$2:$C$201,"NOT FOUND")</f>
        <v/>
      </c>
      <c r="K100" s="4">
        <f>IF(I100=J100,"Match","MISMATCH")</f>
        <v/>
      </c>
      <c r="L100" s="4">
        <f>Provider_Source!I100</f>
        <v/>
      </c>
      <c r="M100" s="4">
        <f>XLOOKUP($A100,Directory_Output!$A$2:$A$201,Directory_Output!$I$2:$I$201,"NOT FOUND")</f>
        <v/>
      </c>
      <c r="N100" s="4">
        <f>IF(L100=M100,"Match","MISMATCH")</f>
        <v/>
      </c>
      <c r="O100" s="4">
        <f>Provider_Source!J100</f>
        <v/>
      </c>
      <c r="P100" s="4">
        <f>XLOOKUP($A100,Directory_Output!$A$2:$A$201,Directory_Output!$J$2:$J$201,"NOT FOUND")</f>
        <v/>
      </c>
      <c r="Q100" s="4">
        <f>IF(O100=P100,"Match","MISMATCH")</f>
        <v/>
      </c>
      <c r="R100" s="4">
        <f>COUNTIF(E100:Q100,"MISMATCH")</f>
        <v/>
      </c>
      <c r="S100" s="4">
        <f>IF(R100=0,"Clean","Needs Review")</f>
        <v/>
      </c>
    </row>
    <row r="101">
      <c r="A101" s="4">
        <f>Provider_Source!A101</f>
        <v/>
      </c>
      <c r="B101" s="4">
        <f>Provider_Source!B101</f>
        <v/>
      </c>
      <c r="C101" s="4">
        <f>Provider_Source!H101</f>
        <v/>
      </c>
      <c r="D101" s="4">
        <f>XLOOKUP($A101,Directory_Output!$A$2:$A$201,Directory_Output!$H$2:$H$201,"NOT FOUND")</f>
        <v/>
      </c>
      <c r="E101" s="4">
        <f>IF(C101=D101,"Match","MISMATCH")</f>
        <v/>
      </c>
      <c r="F101" s="4">
        <f>Provider_Source!D101</f>
        <v/>
      </c>
      <c r="G101" s="4">
        <f>XLOOKUP($A101,Directory_Output!$A$2:$A$201,Directory_Output!$D$2:$D$201,"NOT FOUND")</f>
        <v/>
      </c>
      <c r="H101" s="4">
        <f>IF(F101=G101,"Match","MISMATCH")</f>
        <v/>
      </c>
      <c r="I101" s="4">
        <f>Provider_Source!C101</f>
        <v/>
      </c>
      <c r="J101" s="4">
        <f>XLOOKUP($A101,Directory_Output!$A$2:$A$201,Directory_Output!$C$2:$C$201,"NOT FOUND")</f>
        <v/>
      </c>
      <c r="K101" s="4">
        <f>IF(I101=J101,"Match","MISMATCH")</f>
        <v/>
      </c>
      <c r="L101" s="4">
        <f>Provider_Source!I101</f>
        <v/>
      </c>
      <c r="M101" s="4">
        <f>XLOOKUP($A101,Directory_Output!$A$2:$A$201,Directory_Output!$I$2:$I$201,"NOT FOUND")</f>
        <v/>
      </c>
      <c r="N101" s="4">
        <f>IF(L101=M101,"Match","MISMATCH")</f>
        <v/>
      </c>
      <c r="O101" s="4">
        <f>Provider_Source!J101</f>
        <v/>
      </c>
      <c r="P101" s="4">
        <f>XLOOKUP($A101,Directory_Output!$A$2:$A$201,Directory_Output!$J$2:$J$201,"NOT FOUND")</f>
        <v/>
      </c>
      <c r="Q101" s="4">
        <f>IF(O101=P101,"Match","MISMATCH")</f>
        <v/>
      </c>
      <c r="R101" s="4">
        <f>COUNTIF(E101:Q101,"MISMATCH")</f>
        <v/>
      </c>
      <c r="S101" s="4">
        <f>IF(R101=0,"Clean","Needs Review")</f>
        <v/>
      </c>
    </row>
    <row r="102">
      <c r="A102" s="4">
        <f>Provider_Source!A102</f>
        <v/>
      </c>
      <c r="B102" s="4">
        <f>Provider_Source!B102</f>
        <v/>
      </c>
      <c r="C102" s="4">
        <f>Provider_Source!H102</f>
        <v/>
      </c>
      <c r="D102" s="4">
        <f>XLOOKUP($A102,Directory_Output!$A$2:$A$201,Directory_Output!$H$2:$H$201,"NOT FOUND")</f>
        <v/>
      </c>
      <c r="E102" s="4">
        <f>IF(C102=D102,"Match","MISMATCH")</f>
        <v/>
      </c>
      <c r="F102" s="4">
        <f>Provider_Source!D102</f>
        <v/>
      </c>
      <c r="G102" s="4">
        <f>XLOOKUP($A102,Directory_Output!$A$2:$A$201,Directory_Output!$D$2:$D$201,"NOT FOUND")</f>
        <v/>
      </c>
      <c r="H102" s="4">
        <f>IF(F102=G102,"Match","MISMATCH")</f>
        <v/>
      </c>
      <c r="I102" s="4">
        <f>Provider_Source!C102</f>
        <v/>
      </c>
      <c r="J102" s="4">
        <f>XLOOKUP($A102,Directory_Output!$A$2:$A$201,Directory_Output!$C$2:$C$201,"NOT FOUND")</f>
        <v/>
      </c>
      <c r="K102" s="4">
        <f>IF(I102=J102,"Match","MISMATCH")</f>
        <v/>
      </c>
      <c r="L102" s="4">
        <f>Provider_Source!I102</f>
        <v/>
      </c>
      <c r="M102" s="4">
        <f>XLOOKUP($A102,Directory_Output!$A$2:$A$201,Directory_Output!$I$2:$I$201,"NOT FOUND")</f>
        <v/>
      </c>
      <c r="N102" s="4">
        <f>IF(L102=M102,"Match","MISMATCH")</f>
        <v/>
      </c>
      <c r="O102" s="4">
        <f>Provider_Source!J102</f>
        <v/>
      </c>
      <c r="P102" s="4">
        <f>XLOOKUP($A102,Directory_Output!$A$2:$A$201,Directory_Output!$J$2:$J$201,"NOT FOUND")</f>
        <v/>
      </c>
      <c r="Q102" s="4">
        <f>IF(O102=P102,"Match","MISMATCH")</f>
        <v/>
      </c>
      <c r="R102" s="4">
        <f>COUNTIF(E102:Q102,"MISMATCH")</f>
        <v/>
      </c>
      <c r="S102" s="4">
        <f>IF(R102=0,"Clean","Needs Review")</f>
        <v/>
      </c>
    </row>
    <row r="103">
      <c r="A103" s="4">
        <f>Provider_Source!A103</f>
        <v/>
      </c>
      <c r="B103" s="4">
        <f>Provider_Source!B103</f>
        <v/>
      </c>
      <c r="C103" s="4">
        <f>Provider_Source!H103</f>
        <v/>
      </c>
      <c r="D103" s="4">
        <f>XLOOKUP($A103,Directory_Output!$A$2:$A$201,Directory_Output!$H$2:$H$201,"NOT FOUND")</f>
        <v/>
      </c>
      <c r="E103" s="4">
        <f>IF(C103=D103,"Match","MISMATCH")</f>
        <v/>
      </c>
      <c r="F103" s="4">
        <f>Provider_Source!D103</f>
        <v/>
      </c>
      <c r="G103" s="4">
        <f>XLOOKUP($A103,Directory_Output!$A$2:$A$201,Directory_Output!$D$2:$D$201,"NOT FOUND")</f>
        <v/>
      </c>
      <c r="H103" s="4">
        <f>IF(F103=G103,"Match","MISMATCH")</f>
        <v/>
      </c>
      <c r="I103" s="4">
        <f>Provider_Source!C103</f>
        <v/>
      </c>
      <c r="J103" s="4">
        <f>XLOOKUP($A103,Directory_Output!$A$2:$A$201,Directory_Output!$C$2:$C$201,"NOT FOUND")</f>
        <v/>
      </c>
      <c r="K103" s="4">
        <f>IF(I103=J103,"Match","MISMATCH")</f>
        <v/>
      </c>
      <c r="L103" s="4">
        <f>Provider_Source!I103</f>
        <v/>
      </c>
      <c r="M103" s="4">
        <f>XLOOKUP($A103,Directory_Output!$A$2:$A$201,Directory_Output!$I$2:$I$201,"NOT FOUND")</f>
        <v/>
      </c>
      <c r="N103" s="4">
        <f>IF(L103=M103,"Match","MISMATCH")</f>
        <v/>
      </c>
      <c r="O103" s="4">
        <f>Provider_Source!J103</f>
        <v/>
      </c>
      <c r="P103" s="4">
        <f>XLOOKUP($A103,Directory_Output!$A$2:$A$201,Directory_Output!$J$2:$J$201,"NOT FOUND")</f>
        <v/>
      </c>
      <c r="Q103" s="4">
        <f>IF(O103=P103,"Match","MISMATCH")</f>
        <v/>
      </c>
      <c r="R103" s="4">
        <f>COUNTIF(E103:Q103,"MISMATCH")</f>
        <v/>
      </c>
      <c r="S103" s="4">
        <f>IF(R103=0,"Clean","Needs Review")</f>
        <v/>
      </c>
    </row>
    <row r="104">
      <c r="A104" s="4">
        <f>Provider_Source!A104</f>
        <v/>
      </c>
      <c r="B104" s="4">
        <f>Provider_Source!B104</f>
        <v/>
      </c>
      <c r="C104" s="4">
        <f>Provider_Source!H104</f>
        <v/>
      </c>
      <c r="D104" s="4">
        <f>XLOOKUP($A104,Directory_Output!$A$2:$A$201,Directory_Output!$H$2:$H$201,"NOT FOUND")</f>
        <v/>
      </c>
      <c r="E104" s="4">
        <f>IF(C104=D104,"Match","MISMATCH")</f>
        <v/>
      </c>
      <c r="F104" s="4">
        <f>Provider_Source!D104</f>
        <v/>
      </c>
      <c r="G104" s="4">
        <f>XLOOKUP($A104,Directory_Output!$A$2:$A$201,Directory_Output!$D$2:$D$201,"NOT FOUND")</f>
        <v/>
      </c>
      <c r="H104" s="4">
        <f>IF(F104=G104,"Match","MISMATCH")</f>
        <v/>
      </c>
      <c r="I104" s="4">
        <f>Provider_Source!C104</f>
        <v/>
      </c>
      <c r="J104" s="4">
        <f>XLOOKUP($A104,Directory_Output!$A$2:$A$201,Directory_Output!$C$2:$C$201,"NOT FOUND")</f>
        <v/>
      </c>
      <c r="K104" s="4">
        <f>IF(I104=J104,"Match","MISMATCH")</f>
        <v/>
      </c>
      <c r="L104" s="4">
        <f>Provider_Source!I104</f>
        <v/>
      </c>
      <c r="M104" s="4">
        <f>XLOOKUP($A104,Directory_Output!$A$2:$A$201,Directory_Output!$I$2:$I$201,"NOT FOUND")</f>
        <v/>
      </c>
      <c r="N104" s="4">
        <f>IF(L104=M104,"Match","MISMATCH")</f>
        <v/>
      </c>
      <c r="O104" s="4">
        <f>Provider_Source!J104</f>
        <v/>
      </c>
      <c r="P104" s="4">
        <f>XLOOKUP($A104,Directory_Output!$A$2:$A$201,Directory_Output!$J$2:$J$201,"NOT FOUND")</f>
        <v/>
      </c>
      <c r="Q104" s="4">
        <f>IF(O104=P104,"Match","MISMATCH")</f>
        <v/>
      </c>
      <c r="R104" s="4">
        <f>COUNTIF(E104:Q104,"MISMATCH")</f>
        <v/>
      </c>
      <c r="S104" s="4">
        <f>IF(R104=0,"Clean","Needs Review")</f>
        <v/>
      </c>
    </row>
    <row r="105">
      <c r="A105" s="4">
        <f>Provider_Source!A105</f>
        <v/>
      </c>
      <c r="B105" s="4">
        <f>Provider_Source!B105</f>
        <v/>
      </c>
      <c r="C105" s="4">
        <f>Provider_Source!H105</f>
        <v/>
      </c>
      <c r="D105" s="4">
        <f>XLOOKUP($A105,Directory_Output!$A$2:$A$201,Directory_Output!$H$2:$H$201,"NOT FOUND")</f>
        <v/>
      </c>
      <c r="E105" s="4">
        <f>IF(C105=D105,"Match","MISMATCH")</f>
        <v/>
      </c>
      <c r="F105" s="4">
        <f>Provider_Source!D105</f>
        <v/>
      </c>
      <c r="G105" s="4">
        <f>XLOOKUP($A105,Directory_Output!$A$2:$A$201,Directory_Output!$D$2:$D$201,"NOT FOUND")</f>
        <v/>
      </c>
      <c r="H105" s="4">
        <f>IF(F105=G105,"Match","MISMATCH")</f>
        <v/>
      </c>
      <c r="I105" s="4">
        <f>Provider_Source!C105</f>
        <v/>
      </c>
      <c r="J105" s="4">
        <f>XLOOKUP($A105,Directory_Output!$A$2:$A$201,Directory_Output!$C$2:$C$201,"NOT FOUND")</f>
        <v/>
      </c>
      <c r="K105" s="4">
        <f>IF(I105=J105,"Match","MISMATCH")</f>
        <v/>
      </c>
      <c r="L105" s="4">
        <f>Provider_Source!I105</f>
        <v/>
      </c>
      <c r="M105" s="4">
        <f>XLOOKUP($A105,Directory_Output!$A$2:$A$201,Directory_Output!$I$2:$I$201,"NOT FOUND")</f>
        <v/>
      </c>
      <c r="N105" s="4">
        <f>IF(L105=M105,"Match","MISMATCH")</f>
        <v/>
      </c>
      <c r="O105" s="4">
        <f>Provider_Source!J105</f>
        <v/>
      </c>
      <c r="P105" s="4">
        <f>XLOOKUP($A105,Directory_Output!$A$2:$A$201,Directory_Output!$J$2:$J$201,"NOT FOUND")</f>
        <v/>
      </c>
      <c r="Q105" s="4">
        <f>IF(O105=P105,"Match","MISMATCH")</f>
        <v/>
      </c>
      <c r="R105" s="4">
        <f>COUNTIF(E105:Q105,"MISMATCH")</f>
        <v/>
      </c>
      <c r="S105" s="4">
        <f>IF(R105=0,"Clean","Needs Review")</f>
        <v/>
      </c>
    </row>
    <row r="106">
      <c r="A106" s="4">
        <f>Provider_Source!A106</f>
        <v/>
      </c>
      <c r="B106" s="4">
        <f>Provider_Source!B106</f>
        <v/>
      </c>
      <c r="C106" s="4">
        <f>Provider_Source!H106</f>
        <v/>
      </c>
      <c r="D106" s="4">
        <f>XLOOKUP($A106,Directory_Output!$A$2:$A$201,Directory_Output!$H$2:$H$201,"NOT FOUND")</f>
        <v/>
      </c>
      <c r="E106" s="4">
        <f>IF(C106=D106,"Match","MISMATCH")</f>
        <v/>
      </c>
      <c r="F106" s="4">
        <f>Provider_Source!D106</f>
        <v/>
      </c>
      <c r="G106" s="4">
        <f>XLOOKUP($A106,Directory_Output!$A$2:$A$201,Directory_Output!$D$2:$D$201,"NOT FOUND")</f>
        <v/>
      </c>
      <c r="H106" s="4">
        <f>IF(F106=G106,"Match","MISMATCH")</f>
        <v/>
      </c>
      <c r="I106" s="4">
        <f>Provider_Source!C106</f>
        <v/>
      </c>
      <c r="J106" s="4">
        <f>XLOOKUP($A106,Directory_Output!$A$2:$A$201,Directory_Output!$C$2:$C$201,"NOT FOUND")</f>
        <v/>
      </c>
      <c r="K106" s="4">
        <f>IF(I106=J106,"Match","MISMATCH")</f>
        <v/>
      </c>
      <c r="L106" s="4">
        <f>Provider_Source!I106</f>
        <v/>
      </c>
      <c r="M106" s="4">
        <f>XLOOKUP($A106,Directory_Output!$A$2:$A$201,Directory_Output!$I$2:$I$201,"NOT FOUND")</f>
        <v/>
      </c>
      <c r="N106" s="4">
        <f>IF(L106=M106,"Match","MISMATCH")</f>
        <v/>
      </c>
      <c r="O106" s="4">
        <f>Provider_Source!J106</f>
        <v/>
      </c>
      <c r="P106" s="4">
        <f>XLOOKUP($A106,Directory_Output!$A$2:$A$201,Directory_Output!$J$2:$J$201,"NOT FOUND")</f>
        <v/>
      </c>
      <c r="Q106" s="4">
        <f>IF(O106=P106,"Match","MISMATCH")</f>
        <v/>
      </c>
      <c r="R106" s="4">
        <f>COUNTIF(E106:Q106,"MISMATCH")</f>
        <v/>
      </c>
      <c r="S106" s="4">
        <f>IF(R106=0,"Clean","Needs Review")</f>
        <v/>
      </c>
    </row>
    <row r="107">
      <c r="A107" s="4">
        <f>Provider_Source!A107</f>
        <v/>
      </c>
      <c r="B107" s="4">
        <f>Provider_Source!B107</f>
        <v/>
      </c>
      <c r="C107" s="4">
        <f>Provider_Source!H107</f>
        <v/>
      </c>
      <c r="D107" s="4">
        <f>XLOOKUP($A107,Directory_Output!$A$2:$A$201,Directory_Output!$H$2:$H$201,"NOT FOUND")</f>
        <v/>
      </c>
      <c r="E107" s="4">
        <f>IF(C107=D107,"Match","MISMATCH")</f>
        <v/>
      </c>
      <c r="F107" s="4">
        <f>Provider_Source!D107</f>
        <v/>
      </c>
      <c r="G107" s="4">
        <f>XLOOKUP($A107,Directory_Output!$A$2:$A$201,Directory_Output!$D$2:$D$201,"NOT FOUND")</f>
        <v/>
      </c>
      <c r="H107" s="4">
        <f>IF(F107=G107,"Match","MISMATCH")</f>
        <v/>
      </c>
      <c r="I107" s="4">
        <f>Provider_Source!C107</f>
        <v/>
      </c>
      <c r="J107" s="4">
        <f>XLOOKUP($A107,Directory_Output!$A$2:$A$201,Directory_Output!$C$2:$C$201,"NOT FOUND")</f>
        <v/>
      </c>
      <c r="K107" s="4">
        <f>IF(I107=J107,"Match","MISMATCH")</f>
        <v/>
      </c>
      <c r="L107" s="4">
        <f>Provider_Source!I107</f>
        <v/>
      </c>
      <c r="M107" s="4">
        <f>XLOOKUP($A107,Directory_Output!$A$2:$A$201,Directory_Output!$I$2:$I$201,"NOT FOUND")</f>
        <v/>
      </c>
      <c r="N107" s="4">
        <f>IF(L107=M107,"Match","MISMATCH")</f>
        <v/>
      </c>
      <c r="O107" s="4">
        <f>Provider_Source!J107</f>
        <v/>
      </c>
      <c r="P107" s="4">
        <f>XLOOKUP($A107,Directory_Output!$A$2:$A$201,Directory_Output!$J$2:$J$201,"NOT FOUND")</f>
        <v/>
      </c>
      <c r="Q107" s="4">
        <f>IF(O107=P107,"Match","MISMATCH")</f>
        <v/>
      </c>
      <c r="R107" s="4">
        <f>COUNTIF(E107:Q107,"MISMATCH")</f>
        <v/>
      </c>
      <c r="S107" s="4">
        <f>IF(R107=0,"Clean","Needs Review")</f>
        <v/>
      </c>
    </row>
    <row r="108">
      <c r="A108" s="4">
        <f>Provider_Source!A108</f>
        <v/>
      </c>
      <c r="B108" s="4">
        <f>Provider_Source!B108</f>
        <v/>
      </c>
      <c r="C108" s="4">
        <f>Provider_Source!H108</f>
        <v/>
      </c>
      <c r="D108" s="4">
        <f>XLOOKUP($A108,Directory_Output!$A$2:$A$201,Directory_Output!$H$2:$H$201,"NOT FOUND")</f>
        <v/>
      </c>
      <c r="E108" s="4">
        <f>IF(C108=D108,"Match","MISMATCH")</f>
        <v/>
      </c>
      <c r="F108" s="4">
        <f>Provider_Source!D108</f>
        <v/>
      </c>
      <c r="G108" s="4">
        <f>XLOOKUP($A108,Directory_Output!$A$2:$A$201,Directory_Output!$D$2:$D$201,"NOT FOUND")</f>
        <v/>
      </c>
      <c r="H108" s="4">
        <f>IF(F108=G108,"Match","MISMATCH")</f>
        <v/>
      </c>
      <c r="I108" s="4">
        <f>Provider_Source!C108</f>
        <v/>
      </c>
      <c r="J108" s="4">
        <f>XLOOKUP($A108,Directory_Output!$A$2:$A$201,Directory_Output!$C$2:$C$201,"NOT FOUND")</f>
        <v/>
      </c>
      <c r="K108" s="4">
        <f>IF(I108=J108,"Match","MISMATCH")</f>
        <v/>
      </c>
      <c r="L108" s="4">
        <f>Provider_Source!I108</f>
        <v/>
      </c>
      <c r="M108" s="4">
        <f>XLOOKUP($A108,Directory_Output!$A$2:$A$201,Directory_Output!$I$2:$I$201,"NOT FOUND")</f>
        <v/>
      </c>
      <c r="N108" s="4">
        <f>IF(L108=M108,"Match","MISMATCH")</f>
        <v/>
      </c>
      <c r="O108" s="4">
        <f>Provider_Source!J108</f>
        <v/>
      </c>
      <c r="P108" s="4">
        <f>XLOOKUP($A108,Directory_Output!$A$2:$A$201,Directory_Output!$J$2:$J$201,"NOT FOUND")</f>
        <v/>
      </c>
      <c r="Q108" s="4">
        <f>IF(O108=P108,"Match","MISMATCH")</f>
        <v/>
      </c>
      <c r="R108" s="4">
        <f>COUNTIF(E108:Q108,"MISMATCH")</f>
        <v/>
      </c>
      <c r="S108" s="4">
        <f>IF(R108=0,"Clean","Needs Review")</f>
        <v/>
      </c>
    </row>
    <row r="109">
      <c r="A109" s="4">
        <f>Provider_Source!A109</f>
        <v/>
      </c>
      <c r="B109" s="4">
        <f>Provider_Source!B109</f>
        <v/>
      </c>
      <c r="C109" s="4">
        <f>Provider_Source!H109</f>
        <v/>
      </c>
      <c r="D109" s="4">
        <f>XLOOKUP($A109,Directory_Output!$A$2:$A$201,Directory_Output!$H$2:$H$201,"NOT FOUND")</f>
        <v/>
      </c>
      <c r="E109" s="4">
        <f>IF(C109=D109,"Match","MISMATCH")</f>
        <v/>
      </c>
      <c r="F109" s="4">
        <f>Provider_Source!D109</f>
        <v/>
      </c>
      <c r="G109" s="4">
        <f>XLOOKUP($A109,Directory_Output!$A$2:$A$201,Directory_Output!$D$2:$D$201,"NOT FOUND")</f>
        <v/>
      </c>
      <c r="H109" s="4">
        <f>IF(F109=G109,"Match","MISMATCH")</f>
        <v/>
      </c>
      <c r="I109" s="4">
        <f>Provider_Source!C109</f>
        <v/>
      </c>
      <c r="J109" s="4">
        <f>XLOOKUP($A109,Directory_Output!$A$2:$A$201,Directory_Output!$C$2:$C$201,"NOT FOUND")</f>
        <v/>
      </c>
      <c r="K109" s="4">
        <f>IF(I109=J109,"Match","MISMATCH")</f>
        <v/>
      </c>
      <c r="L109" s="4">
        <f>Provider_Source!I109</f>
        <v/>
      </c>
      <c r="M109" s="4">
        <f>XLOOKUP($A109,Directory_Output!$A$2:$A$201,Directory_Output!$I$2:$I$201,"NOT FOUND")</f>
        <v/>
      </c>
      <c r="N109" s="4">
        <f>IF(L109=M109,"Match","MISMATCH")</f>
        <v/>
      </c>
      <c r="O109" s="4">
        <f>Provider_Source!J109</f>
        <v/>
      </c>
      <c r="P109" s="4">
        <f>XLOOKUP($A109,Directory_Output!$A$2:$A$201,Directory_Output!$J$2:$J$201,"NOT FOUND")</f>
        <v/>
      </c>
      <c r="Q109" s="4">
        <f>IF(O109=P109,"Match","MISMATCH")</f>
        <v/>
      </c>
      <c r="R109" s="4">
        <f>COUNTIF(E109:Q109,"MISMATCH")</f>
        <v/>
      </c>
      <c r="S109" s="4">
        <f>IF(R109=0,"Clean","Needs Review")</f>
        <v/>
      </c>
    </row>
    <row r="110">
      <c r="A110" s="4">
        <f>Provider_Source!A110</f>
        <v/>
      </c>
      <c r="B110" s="4">
        <f>Provider_Source!B110</f>
        <v/>
      </c>
      <c r="C110" s="4">
        <f>Provider_Source!H110</f>
        <v/>
      </c>
      <c r="D110" s="4">
        <f>XLOOKUP($A110,Directory_Output!$A$2:$A$201,Directory_Output!$H$2:$H$201,"NOT FOUND")</f>
        <v/>
      </c>
      <c r="E110" s="4">
        <f>IF(C110=D110,"Match","MISMATCH")</f>
        <v/>
      </c>
      <c r="F110" s="4">
        <f>Provider_Source!D110</f>
        <v/>
      </c>
      <c r="G110" s="4">
        <f>XLOOKUP($A110,Directory_Output!$A$2:$A$201,Directory_Output!$D$2:$D$201,"NOT FOUND")</f>
        <v/>
      </c>
      <c r="H110" s="4">
        <f>IF(F110=G110,"Match","MISMATCH")</f>
        <v/>
      </c>
      <c r="I110" s="4">
        <f>Provider_Source!C110</f>
        <v/>
      </c>
      <c r="J110" s="4">
        <f>XLOOKUP($A110,Directory_Output!$A$2:$A$201,Directory_Output!$C$2:$C$201,"NOT FOUND")</f>
        <v/>
      </c>
      <c r="K110" s="4">
        <f>IF(I110=J110,"Match","MISMATCH")</f>
        <v/>
      </c>
      <c r="L110" s="4">
        <f>Provider_Source!I110</f>
        <v/>
      </c>
      <c r="M110" s="4">
        <f>XLOOKUP($A110,Directory_Output!$A$2:$A$201,Directory_Output!$I$2:$I$201,"NOT FOUND")</f>
        <v/>
      </c>
      <c r="N110" s="4">
        <f>IF(L110=M110,"Match","MISMATCH")</f>
        <v/>
      </c>
      <c r="O110" s="4">
        <f>Provider_Source!J110</f>
        <v/>
      </c>
      <c r="P110" s="4">
        <f>XLOOKUP($A110,Directory_Output!$A$2:$A$201,Directory_Output!$J$2:$J$201,"NOT FOUND")</f>
        <v/>
      </c>
      <c r="Q110" s="4">
        <f>IF(O110=P110,"Match","MISMATCH")</f>
        <v/>
      </c>
      <c r="R110" s="4">
        <f>COUNTIF(E110:Q110,"MISMATCH")</f>
        <v/>
      </c>
      <c r="S110" s="4">
        <f>IF(R110=0,"Clean","Needs Review")</f>
        <v/>
      </c>
    </row>
    <row r="111">
      <c r="A111" s="4">
        <f>Provider_Source!A111</f>
        <v/>
      </c>
      <c r="B111" s="4">
        <f>Provider_Source!B111</f>
        <v/>
      </c>
      <c r="C111" s="4">
        <f>Provider_Source!H111</f>
        <v/>
      </c>
      <c r="D111" s="4">
        <f>XLOOKUP($A111,Directory_Output!$A$2:$A$201,Directory_Output!$H$2:$H$201,"NOT FOUND")</f>
        <v/>
      </c>
      <c r="E111" s="4">
        <f>IF(C111=D111,"Match","MISMATCH")</f>
        <v/>
      </c>
      <c r="F111" s="4">
        <f>Provider_Source!D111</f>
        <v/>
      </c>
      <c r="G111" s="4">
        <f>XLOOKUP($A111,Directory_Output!$A$2:$A$201,Directory_Output!$D$2:$D$201,"NOT FOUND")</f>
        <v/>
      </c>
      <c r="H111" s="4">
        <f>IF(F111=G111,"Match","MISMATCH")</f>
        <v/>
      </c>
      <c r="I111" s="4">
        <f>Provider_Source!C111</f>
        <v/>
      </c>
      <c r="J111" s="4">
        <f>XLOOKUP($A111,Directory_Output!$A$2:$A$201,Directory_Output!$C$2:$C$201,"NOT FOUND")</f>
        <v/>
      </c>
      <c r="K111" s="4">
        <f>IF(I111=J111,"Match","MISMATCH")</f>
        <v/>
      </c>
      <c r="L111" s="4">
        <f>Provider_Source!I111</f>
        <v/>
      </c>
      <c r="M111" s="4">
        <f>XLOOKUP($A111,Directory_Output!$A$2:$A$201,Directory_Output!$I$2:$I$201,"NOT FOUND")</f>
        <v/>
      </c>
      <c r="N111" s="4">
        <f>IF(L111=M111,"Match","MISMATCH")</f>
        <v/>
      </c>
      <c r="O111" s="4">
        <f>Provider_Source!J111</f>
        <v/>
      </c>
      <c r="P111" s="4">
        <f>XLOOKUP($A111,Directory_Output!$A$2:$A$201,Directory_Output!$J$2:$J$201,"NOT FOUND")</f>
        <v/>
      </c>
      <c r="Q111" s="4">
        <f>IF(O111=P111,"Match","MISMATCH")</f>
        <v/>
      </c>
      <c r="R111" s="4">
        <f>COUNTIF(E111:Q111,"MISMATCH")</f>
        <v/>
      </c>
      <c r="S111" s="4">
        <f>IF(R111=0,"Clean","Needs Review")</f>
        <v/>
      </c>
    </row>
    <row r="112">
      <c r="A112" s="4">
        <f>Provider_Source!A112</f>
        <v/>
      </c>
      <c r="B112" s="4">
        <f>Provider_Source!B112</f>
        <v/>
      </c>
      <c r="C112" s="4">
        <f>Provider_Source!H112</f>
        <v/>
      </c>
      <c r="D112" s="4">
        <f>XLOOKUP($A112,Directory_Output!$A$2:$A$201,Directory_Output!$H$2:$H$201,"NOT FOUND")</f>
        <v/>
      </c>
      <c r="E112" s="4">
        <f>IF(C112=D112,"Match","MISMATCH")</f>
        <v/>
      </c>
      <c r="F112" s="4">
        <f>Provider_Source!D112</f>
        <v/>
      </c>
      <c r="G112" s="4">
        <f>XLOOKUP($A112,Directory_Output!$A$2:$A$201,Directory_Output!$D$2:$D$201,"NOT FOUND")</f>
        <v/>
      </c>
      <c r="H112" s="4">
        <f>IF(F112=G112,"Match","MISMATCH")</f>
        <v/>
      </c>
      <c r="I112" s="4">
        <f>Provider_Source!C112</f>
        <v/>
      </c>
      <c r="J112" s="4">
        <f>XLOOKUP($A112,Directory_Output!$A$2:$A$201,Directory_Output!$C$2:$C$201,"NOT FOUND")</f>
        <v/>
      </c>
      <c r="K112" s="4">
        <f>IF(I112=J112,"Match","MISMATCH")</f>
        <v/>
      </c>
      <c r="L112" s="4">
        <f>Provider_Source!I112</f>
        <v/>
      </c>
      <c r="M112" s="4">
        <f>XLOOKUP($A112,Directory_Output!$A$2:$A$201,Directory_Output!$I$2:$I$201,"NOT FOUND")</f>
        <v/>
      </c>
      <c r="N112" s="4">
        <f>IF(L112=M112,"Match","MISMATCH")</f>
        <v/>
      </c>
      <c r="O112" s="4">
        <f>Provider_Source!J112</f>
        <v/>
      </c>
      <c r="P112" s="4">
        <f>XLOOKUP($A112,Directory_Output!$A$2:$A$201,Directory_Output!$J$2:$J$201,"NOT FOUND")</f>
        <v/>
      </c>
      <c r="Q112" s="4">
        <f>IF(O112=P112,"Match","MISMATCH")</f>
        <v/>
      </c>
      <c r="R112" s="4">
        <f>COUNTIF(E112:Q112,"MISMATCH")</f>
        <v/>
      </c>
      <c r="S112" s="4">
        <f>IF(R112=0,"Clean","Needs Review")</f>
        <v/>
      </c>
    </row>
    <row r="113">
      <c r="A113" s="4">
        <f>Provider_Source!A113</f>
        <v/>
      </c>
      <c r="B113" s="4">
        <f>Provider_Source!B113</f>
        <v/>
      </c>
      <c r="C113" s="4">
        <f>Provider_Source!H113</f>
        <v/>
      </c>
      <c r="D113" s="4">
        <f>XLOOKUP($A113,Directory_Output!$A$2:$A$201,Directory_Output!$H$2:$H$201,"NOT FOUND")</f>
        <v/>
      </c>
      <c r="E113" s="4">
        <f>IF(C113=D113,"Match","MISMATCH")</f>
        <v/>
      </c>
      <c r="F113" s="4">
        <f>Provider_Source!D113</f>
        <v/>
      </c>
      <c r="G113" s="4">
        <f>XLOOKUP($A113,Directory_Output!$A$2:$A$201,Directory_Output!$D$2:$D$201,"NOT FOUND")</f>
        <v/>
      </c>
      <c r="H113" s="4">
        <f>IF(F113=G113,"Match","MISMATCH")</f>
        <v/>
      </c>
      <c r="I113" s="4">
        <f>Provider_Source!C113</f>
        <v/>
      </c>
      <c r="J113" s="4">
        <f>XLOOKUP($A113,Directory_Output!$A$2:$A$201,Directory_Output!$C$2:$C$201,"NOT FOUND")</f>
        <v/>
      </c>
      <c r="K113" s="4">
        <f>IF(I113=J113,"Match","MISMATCH")</f>
        <v/>
      </c>
      <c r="L113" s="4">
        <f>Provider_Source!I113</f>
        <v/>
      </c>
      <c r="M113" s="4">
        <f>XLOOKUP($A113,Directory_Output!$A$2:$A$201,Directory_Output!$I$2:$I$201,"NOT FOUND")</f>
        <v/>
      </c>
      <c r="N113" s="4">
        <f>IF(L113=M113,"Match","MISMATCH")</f>
        <v/>
      </c>
      <c r="O113" s="4">
        <f>Provider_Source!J113</f>
        <v/>
      </c>
      <c r="P113" s="4">
        <f>XLOOKUP($A113,Directory_Output!$A$2:$A$201,Directory_Output!$J$2:$J$201,"NOT FOUND")</f>
        <v/>
      </c>
      <c r="Q113" s="4">
        <f>IF(O113=P113,"Match","MISMATCH")</f>
        <v/>
      </c>
      <c r="R113" s="4">
        <f>COUNTIF(E113:Q113,"MISMATCH")</f>
        <v/>
      </c>
      <c r="S113" s="4">
        <f>IF(R113=0,"Clean","Needs Review")</f>
        <v/>
      </c>
    </row>
    <row r="114">
      <c r="A114" s="4">
        <f>Provider_Source!A114</f>
        <v/>
      </c>
      <c r="B114" s="4">
        <f>Provider_Source!B114</f>
        <v/>
      </c>
      <c r="C114" s="4">
        <f>Provider_Source!H114</f>
        <v/>
      </c>
      <c r="D114" s="4">
        <f>XLOOKUP($A114,Directory_Output!$A$2:$A$201,Directory_Output!$H$2:$H$201,"NOT FOUND")</f>
        <v/>
      </c>
      <c r="E114" s="4">
        <f>IF(C114=D114,"Match","MISMATCH")</f>
        <v/>
      </c>
      <c r="F114" s="4">
        <f>Provider_Source!D114</f>
        <v/>
      </c>
      <c r="G114" s="4">
        <f>XLOOKUP($A114,Directory_Output!$A$2:$A$201,Directory_Output!$D$2:$D$201,"NOT FOUND")</f>
        <v/>
      </c>
      <c r="H114" s="4">
        <f>IF(F114=G114,"Match","MISMATCH")</f>
        <v/>
      </c>
      <c r="I114" s="4">
        <f>Provider_Source!C114</f>
        <v/>
      </c>
      <c r="J114" s="4">
        <f>XLOOKUP($A114,Directory_Output!$A$2:$A$201,Directory_Output!$C$2:$C$201,"NOT FOUND")</f>
        <v/>
      </c>
      <c r="K114" s="4">
        <f>IF(I114=J114,"Match","MISMATCH")</f>
        <v/>
      </c>
      <c r="L114" s="4">
        <f>Provider_Source!I114</f>
        <v/>
      </c>
      <c r="M114" s="4">
        <f>XLOOKUP($A114,Directory_Output!$A$2:$A$201,Directory_Output!$I$2:$I$201,"NOT FOUND")</f>
        <v/>
      </c>
      <c r="N114" s="4">
        <f>IF(L114=M114,"Match","MISMATCH")</f>
        <v/>
      </c>
      <c r="O114" s="4">
        <f>Provider_Source!J114</f>
        <v/>
      </c>
      <c r="P114" s="4">
        <f>XLOOKUP($A114,Directory_Output!$A$2:$A$201,Directory_Output!$J$2:$J$201,"NOT FOUND")</f>
        <v/>
      </c>
      <c r="Q114" s="4">
        <f>IF(O114=P114,"Match","MISMATCH")</f>
        <v/>
      </c>
      <c r="R114" s="4">
        <f>COUNTIF(E114:Q114,"MISMATCH")</f>
        <v/>
      </c>
      <c r="S114" s="4">
        <f>IF(R114=0,"Clean","Needs Review")</f>
        <v/>
      </c>
    </row>
    <row r="115">
      <c r="A115" s="4">
        <f>Provider_Source!A115</f>
        <v/>
      </c>
      <c r="B115" s="4">
        <f>Provider_Source!B115</f>
        <v/>
      </c>
      <c r="C115" s="4">
        <f>Provider_Source!H115</f>
        <v/>
      </c>
      <c r="D115" s="4">
        <f>XLOOKUP($A115,Directory_Output!$A$2:$A$201,Directory_Output!$H$2:$H$201,"NOT FOUND")</f>
        <v/>
      </c>
      <c r="E115" s="4">
        <f>IF(C115=D115,"Match","MISMATCH")</f>
        <v/>
      </c>
      <c r="F115" s="4">
        <f>Provider_Source!D115</f>
        <v/>
      </c>
      <c r="G115" s="4">
        <f>XLOOKUP($A115,Directory_Output!$A$2:$A$201,Directory_Output!$D$2:$D$201,"NOT FOUND")</f>
        <v/>
      </c>
      <c r="H115" s="4">
        <f>IF(F115=G115,"Match","MISMATCH")</f>
        <v/>
      </c>
      <c r="I115" s="4">
        <f>Provider_Source!C115</f>
        <v/>
      </c>
      <c r="J115" s="4">
        <f>XLOOKUP($A115,Directory_Output!$A$2:$A$201,Directory_Output!$C$2:$C$201,"NOT FOUND")</f>
        <v/>
      </c>
      <c r="K115" s="4">
        <f>IF(I115=J115,"Match","MISMATCH")</f>
        <v/>
      </c>
      <c r="L115" s="4">
        <f>Provider_Source!I115</f>
        <v/>
      </c>
      <c r="M115" s="4">
        <f>XLOOKUP($A115,Directory_Output!$A$2:$A$201,Directory_Output!$I$2:$I$201,"NOT FOUND")</f>
        <v/>
      </c>
      <c r="N115" s="4">
        <f>IF(L115=M115,"Match","MISMATCH")</f>
        <v/>
      </c>
      <c r="O115" s="4">
        <f>Provider_Source!J115</f>
        <v/>
      </c>
      <c r="P115" s="4">
        <f>XLOOKUP($A115,Directory_Output!$A$2:$A$201,Directory_Output!$J$2:$J$201,"NOT FOUND")</f>
        <v/>
      </c>
      <c r="Q115" s="4">
        <f>IF(O115=P115,"Match","MISMATCH")</f>
        <v/>
      </c>
      <c r="R115" s="4">
        <f>COUNTIF(E115:Q115,"MISMATCH")</f>
        <v/>
      </c>
      <c r="S115" s="4">
        <f>IF(R115=0,"Clean","Needs Review")</f>
        <v/>
      </c>
    </row>
    <row r="116">
      <c r="A116" s="4">
        <f>Provider_Source!A116</f>
        <v/>
      </c>
      <c r="B116" s="4">
        <f>Provider_Source!B116</f>
        <v/>
      </c>
      <c r="C116" s="4">
        <f>Provider_Source!H116</f>
        <v/>
      </c>
      <c r="D116" s="4">
        <f>XLOOKUP($A116,Directory_Output!$A$2:$A$201,Directory_Output!$H$2:$H$201,"NOT FOUND")</f>
        <v/>
      </c>
      <c r="E116" s="4">
        <f>IF(C116=D116,"Match","MISMATCH")</f>
        <v/>
      </c>
      <c r="F116" s="4">
        <f>Provider_Source!D116</f>
        <v/>
      </c>
      <c r="G116" s="4">
        <f>XLOOKUP($A116,Directory_Output!$A$2:$A$201,Directory_Output!$D$2:$D$201,"NOT FOUND")</f>
        <v/>
      </c>
      <c r="H116" s="4">
        <f>IF(F116=G116,"Match","MISMATCH")</f>
        <v/>
      </c>
      <c r="I116" s="4">
        <f>Provider_Source!C116</f>
        <v/>
      </c>
      <c r="J116" s="4">
        <f>XLOOKUP($A116,Directory_Output!$A$2:$A$201,Directory_Output!$C$2:$C$201,"NOT FOUND")</f>
        <v/>
      </c>
      <c r="K116" s="4">
        <f>IF(I116=J116,"Match","MISMATCH")</f>
        <v/>
      </c>
      <c r="L116" s="4">
        <f>Provider_Source!I116</f>
        <v/>
      </c>
      <c r="M116" s="4">
        <f>XLOOKUP($A116,Directory_Output!$A$2:$A$201,Directory_Output!$I$2:$I$201,"NOT FOUND")</f>
        <v/>
      </c>
      <c r="N116" s="4">
        <f>IF(L116=M116,"Match","MISMATCH")</f>
        <v/>
      </c>
      <c r="O116" s="4">
        <f>Provider_Source!J116</f>
        <v/>
      </c>
      <c r="P116" s="4">
        <f>XLOOKUP($A116,Directory_Output!$A$2:$A$201,Directory_Output!$J$2:$J$201,"NOT FOUND")</f>
        <v/>
      </c>
      <c r="Q116" s="4">
        <f>IF(O116=P116,"Match","MISMATCH")</f>
        <v/>
      </c>
      <c r="R116" s="4">
        <f>COUNTIF(E116:Q116,"MISMATCH")</f>
        <v/>
      </c>
      <c r="S116" s="4">
        <f>IF(R116=0,"Clean","Needs Review")</f>
        <v/>
      </c>
    </row>
    <row r="117">
      <c r="A117" s="4">
        <f>Provider_Source!A117</f>
        <v/>
      </c>
      <c r="B117" s="4">
        <f>Provider_Source!B117</f>
        <v/>
      </c>
      <c r="C117" s="4">
        <f>Provider_Source!H117</f>
        <v/>
      </c>
      <c r="D117" s="4">
        <f>XLOOKUP($A117,Directory_Output!$A$2:$A$201,Directory_Output!$H$2:$H$201,"NOT FOUND")</f>
        <v/>
      </c>
      <c r="E117" s="4">
        <f>IF(C117=D117,"Match","MISMATCH")</f>
        <v/>
      </c>
      <c r="F117" s="4">
        <f>Provider_Source!D117</f>
        <v/>
      </c>
      <c r="G117" s="4">
        <f>XLOOKUP($A117,Directory_Output!$A$2:$A$201,Directory_Output!$D$2:$D$201,"NOT FOUND")</f>
        <v/>
      </c>
      <c r="H117" s="4">
        <f>IF(F117=G117,"Match","MISMATCH")</f>
        <v/>
      </c>
      <c r="I117" s="4">
        <f>Provider_Source!C117</f>
        <v/>
      </c>
      <c r="J117" s="4">
        <f>XLOOKUP($A117,Directory_Output!$A$2:$A$201,Directory_Output!$C$2:$C$201,"NOT FOUND")</f>
        <v/>
      </c>
      <c r="K117" s="4">
        <f>IF(I117=J117,"Match","MISMATCH")</f>
        <v/>
      </c>
      <c r="L117" s="4">
        <f>Provider_Source!I117</f>
        <v/>
      </c>
      <c r="M117" s="4">
        <f>XLOOKUP($A117,Directory_Output!$A$2:$A$201,Directory_Output!$I$2:$I$201,"NOT FOUND")</f>
        <v/>
      </c>
      <c r="N117" s="4">
        <f>IF(L117=M117,"Match","MISMATCH")</f>
        <v/>
      </c>
      <c r="O117" s="4">
        <f>Provider_Source!J117</f>
        <v/>
      </c>
      <c r="P117" s="4">
        <f>XLOOKUP($A117,Directory_Output!$A$2:$A$201,Directory_Output!$J$2:$J$201,"NOT FOUND")</f>
        <v/>
      </c>
      <c r="Q117" s="4">
        <f>IF(O117=P117,"Match","MISMATCH")</f>
        <v/>
      </c>
      <c r="R117" s="4">
        <f>COUNTIF(E117:Q117,"MISMATCH")</f>
        <v/>
      </c>
      <c r="S117" s="4">
        <f>IF(R117=0,"Clean","Needs Review")</f>
        <v/>
      </c>
    </row>
    <row r="118">
      <c r="A118" s="4">
        <f>Provider_Source!A118</f>
        <v/>
      </c>
      <c r="B118" s="4">
        <f>Provider_Source!B118</f>
        <v/>
      </c>
      <c r="C118" s="4">
        <f>Provider_Source!H118</f>
        <v/>
      </c>
      <c r="D118" s="4">
        <f>XLOOKUP($A118,Directory_Output!$A$2:$A$201,Directory_Output!$H$2:$H$201,"NOT FOUND")</f>
        <v/>
      </c>
      <c r="E118" s="4">
        <f>IF(C118=D118,"Match","MISMATCH")</f>
        <v/>
      </c>
      <c r="F118" s="4">
        <f>Provider_Source!D118</f>
        <v/>
      </c>
      <c r="G118" s="4">
        <f>XLOOKUP($A118,Directory_Output!$A$2:$A$201,Directory_Output!$D$2:$D$201,"NOT FOUND")</f>
        <v/>
      </c>
      <c r="H118" s="4">
        <f>IF(F118=G118,"Match","MISMATCH")</f>
        <v/>
      </c>
      <c r="I118" s="4">
        <f>Provider_Source!C118</f>
        <v/>
      </c>
      <c r="J118" s="4">
        <f>XLOOKUP($A118,Directory_Output!$A$2:$A$201,Directory_Output!$C$2:$C$201,"NOT FOUND")</f>
        <v/>
      </c>
      <c r="K118" s="4">
        <f>IF(I118=J118,"Match","MISMATCH")</f>
        <v/>
      </c>
      <c r="L118" s="4">
        <f>Provider_Source!I118</f>
        <v/>
      </c>
      <c r="M118" s="4">
        <f>XLOOKUP($A118,Directory_Output!$A$2:$A$201,Directory_Output!$I$2:$I$201,"NOT FOUND")</f>
        <v/>
      </c>
      <c r="N118" s="4">
        <f>IF(L118=M118,"Match","MISMATCH")</f>
        <v/>
      </c>
      <c r="O118" s="4">
        <f>Provider_Source!J118</f>
        <v/>
      </c>
      <c r="P118" s="4">
        <f>XLOOKUP($A118,Directory_Output!$A$2:$A$201,Directory_Output!$J$2:$J$201,"NOT FOUND")</f>
        <v/>
      </c>
      <c r="Q118" s="4">
        <f>IF(O118=P118,"Match","MISMATCH")</f>
        <v/>
      </c>
      <c r="R118" s="4">
        <f>COUNTIF(E118:Q118,"MISMATCH")</f>
        <v/>
      </c>
      <c r="S118" s="4">
        <f>IF(R118=0,"Clean","Needs Review")</f>
        <v/>
      </c>
    </row>
    <row r="119">
      <c r="A119" s="4">
        <f>Provider_Source!A119</f>
        <v/>
      </c>
      <c r="B119" s="4">
        <f>Provider_Source!B119</f>
        <v/>
      </c>
      <c r="C119" s="4">
        <f>Provider_Source!H119</f>
        <v/>
      </c>
      <c r="D119" s="4">
        <f>XLOOKUP($A119,Directory_Output!$A$2:$A$201,Directory_Output!$H$2:$H$201,"NOT FOUND")</f>
        <v/>
      </c>
      <c r="E119" s="4">
        <f>IF(C119=D119,"Match","MISMATCH")</f>
        <v/>
      </c>
      <c r="F119" s="4">
        <f>Provider_Source!D119</f>
        <v/>
      </c>
      <c r="G119" s="4">
        <f>XLOOKUP($A119,Directory_Output!$A$2:$A$201,Directory_Output!$D$2:$D$201,"NOT FOUND")</f>
        <v/>
      </c>
      <c r="H119" s="4">
        <f>IF(F119=G119,"Match","MISMATCH")</f>
        <v/>
      </c>
      <c r="I119" s="4">
        <f>Provider_Source!C119</f>
        <v/>
      </c>
      <c r="J119" s="4">
        <f>XLOOKUP($A119,Directory_Output!$A$2:$A$201,Directory_Output!$C$2:$C$201,"NOT FOUND")</f>
        <v/>
      </c>
      <c r="K119" s="4">
        <f>IF(I119=J119,"Match","MISMATCH")</f>
        <v/>
      </c>
      <c r="L119" s="4">
        <f>Provider_Source!I119</f>
        <v/>
      </c>
      <c r="M119" s="4">
        <f>XLOOKUP($A119,Directory_Output!$A$2:$A$201,Directory_Output!$I$2:$I$201,"NOT FOUND")</f>
        <v/>
      </c>
      <c r="N119" s="4">
        <f>IF(L119=M119,"Match","MISMATCH")</f>
        <v/>
      </c>
      <c r="O119" s="4">
        <f>Provider_Source!J119</f>
        <v/>
      </c>
      <c r="P119" s="4">
        <f>XLOOKUP($A119,Directory_Output!$A$2:$A$201,Directory_Output!$J$2:$J$201,"NOT FOUND")</f>
        <v/>
      </c>
      <c r="Q119" s="4">
        <f>IF(O119=P119,"Match","MISMATCH")</f>
        <v/>
      </c>
      <c r="R119" s="4">
        <f>COUNTIF(E119:Q119,"MISMATCH")</f>
        <v/>
      </c>
      <c r="S119" s="4">
        <f>IF(R119=0,"Clean","Needs Review")</f>
        <v/>
      </c>
    </row>
    <row r="120">
      <c r="A120" s="4">
        <f>Provider_Source!A120</f>
        <v/>
      </c>
      <c r="B120" s="4">
        <f>Provider_Source!B120</f>
        <v/>
      </c>
      <c r="C120" s="4">
        <f>Provider_Source!H120</f>
        <v/>
      </c>
      <c r="D120" s="4">
        <f>XLOOKUP($A120,Directory_Output!$A$2:$A$201,Directory_Output!$H$2:$H$201,"NOT FOUND")</f>
        <v/>
      </c>
      <c r="E120" s="4">
        <f>IF(C120=D120,"Match","MISMATCH")</f>
        <v/>
      </c>
      <c r="F120" s="4">
        <f>Provider_Source!D120</f>
        <v/>
      </c>
      <c r="G120" s="4">
        <f>XLOOKUP($A120,Directory_Output!$A$2:$A$201,Directory_Output!$D$2:$D$201,"NOT FOUND")</f>
        <v/>
      </c>
      <c r="H120" s="4">
        <f>IF(F120=G120,"Match","MISMATCH")</f>
        <v/>
      </c>
      <c r="I120" s="4">
        <f>Provider_Source!C120</f>
        <v/>
      </c>
      <c r="J120" s="4">
        <f>XLOOKUP($A120,Directory_Output!$A$2:$A$201,Directory_Output!$C$2:$C$201,"NOT FOUND")</f>
        <v/>
      </c>
      <c r="K120" s="4">
        <f>IF(I120=J120,"Match","MISMATCH")</f>
        <v/>
      </c>
      <c r="L120" s="4">
        <f>Provider_Source!I120</f>
        <v/>
      </c>
      <c r="M120" s="4">
        <f>XLOOKUP($A120,Directory_Output!$A$2:$A$201,Directory_Output!$I$2:$I$201,"NOT FOUND")</f>
        <v/>
      </c>
      <c r="N120" s="4">
        <f>IF(L120=M120,"Match","MISMATCH")</f>
        <v/>
      </c>
      <c r="O120" s="4">
        <f>Provider_Source!J120</f>
        <v/>
      </c>
      <c r="P120" s="4">
        <f>XLOOKUP($A120,Directory_Output!$A$2:$A$201,Directory_Output!$J$2:$J$201,"NOT FOUND")</f>
        <v/>
      </c>
      <c r="Q120" s="4">
        <f>IF(O120=P120,"Match","MISMATCH")</f>
        <v/>
      </c>
      <c r="R120" s="4">
        <f>COUNTIF(E120:Q120,"MISMATCH")</f>
        <v/>
      </c>
      <c r="S120" s="4">
        <f>IF(R120=0,"Clean","Needs Review")</f>
        <v/>
      </c>
    </row>
    <row r="121">
      <c r="A121" s="4">
        <f>Provider_Source!A121</f>
        <v/>
      </c>
      <c r="B121" s="4">
        <f>Provider_Source!B121</f>
        <v/>
      </c>
      <c r="C121" s="4">
        <f>Provider_Source!H121</f>
        <v/>
      </c>
      <c r="D121" s="4">
        <f>XLOOKUP($A121,Directory_Output!$A$2:$A$201,Directory_Output!$H$2:$H$201,"NOT FOUND")</f>
        <v/>
      </c>
      <c r="E121" s="4">
        <f>IF(C121=D121,"Match","MISMATCH")</f>
        <v/>
      </c>
      <c r="F121" s="4">
        <f>Provider_Source!D121</f>
        <v/>
      </c>
      <c r="G121" s="4">
        <f>XLOOKUP($A121,Directory_Output!$A$2:$A$201,Directory_Output!$D$2:$D$201,"NOT FOUND")</f>
        <v/>
      </c>
      <c r="H121" s="4">
        <f>IF(F121=G121,"Match","MISMATCH")</f>
        <v/>
      </c>
      <c r="I121" s="4">
        <f>Provider_Source!C121</f>
        <v/>
      </c>
      <c r="J121" s="4">
        <f>XLOOKUP($A121,Directory_Output!$A$2:$A$201,Directory_Output!$C$2:$C$201,"NOT FOUND")</f>
        <v/>
      </c>
      <c r="K121" s="4">
        <f>IF(I121=J121,"Match","MISMATCH")</f>
        <v/>
      </c>
      <c r="L121" s="4">
        <f>Provider_Source!I121</f>
        <v/>
      </c>
      <c r="M121" s="4">
        <f>XLOOKUP($A121,Directory_Output!$A$2:$A$201,Directory_Output!$I$2:$I$201,"NOT FOUND")</f>
        <v/>
      </c>
      <c r="N121" s="4">
        <f>IF(L121=M121,"Match","MISMATCH")</f>
        <v/>
      </c>
      <c r="O121" s="4">
        <f>Provider_Source!J121</f>
        <v/>
      </c>
      <c r="P121" s="4">
        <f>XLOOKUP($A121,Directory_Output!$A$2:$A$201,Directory_Output!$J$2:$J$201,"NOT FOUND")</f>
        <v/>
      </c>
      <c r="Q121" s="4">
        <f>IF(O121=P121,"Match","MISMATCH")</f>
        <v/>
      </c>
      <c r="R121" s="4">
        <f>COUNTIF(E121:Q121,"MISMATCH")</f>
        <v/>
      </c>
      <c r="S121" s="4">
        <f>IF(R121=0,"Clean","Needs Review")</f>
        <v/>
      </c>
    </row>
    <row r="122">
      <c r="A122" s="4">
        <f>Provider_Source!A122</f>
        <v/>
      </c>
      <c r="B122" s="4">
        <f>Provider_Source!B122</f>
        <v/>
      </c>
      <c r="C122" s="4">
        <f>Provider_Source!H122</f>
        <v/>
      </c>
      <c r="D122" s="4">
        <f>XLOOKUP($A122,Directory_Output!$A$2:$A$201,Directory_Output!$H$2:$H$201,"NOT FOUND")</f>
        <v/>
      </c>
      <c r="E122" s="4">
        <f>IF(C122=D122,"Match","MISMATCH")</f>
        <v/>
      </c>
      <c r="F122" s="4">
        <f>Provider_Source!D122</f>
        <v/>
      </c>
      <c r="G122" s="4">
        <f>XLOOKUP($A122,Directory_Output!$A$2:$A$201,Directory_Output!$D$2:$D$201,"NOT FOUND")</f>
        <v/>
      </c>
      <c r="H122" s="4">
        <f>IF(F122=G122,"Match","MISMATCH")</f>
        <v/>
      </c>
      <c r="I122" s="4">
        <f>Provider_Source!C122</f>
        <v/>
      </c>
      <c r="J122" s="4">
        <f>XLOOKUP($A122,Directory_Output!$A$2:$A$201,Directory_Output!$C$2:$C$201,"NOT FOUND")</f>
        <v/>
      </c>
      <c r="K122" s="4">
        <f>IF(I122=J122,"Match","MISMATCH")</f>
        <v/>
      </c>
      <c r="L122" s="4">
        <f>Provider_Source!I122</f>
        <v/>
      </c>
      <c r="M122" s="4">
        <f>XLOOKUP($A122,Directory_Output!$A$2:$A$201,Directory_Output!$I$2:$I$201,"NOT FOUND")</f>
        <v/>
      </c>
      <c r="N122" s="4">
        <f>IF(L122=M122,"Match","MISMATCH")</f>
        <v/>
      </c>
      <c r="O122" s="4">
        <f>Provider_Source!J122</f>
        <v/>
      </c>
      <c r="P122" s="4">
        <f>XLOOKUP($A122,Directory_Output!$A$2:$A$201,Directory_Output!$J$2:$J$201,"NOT FOUND")</f>
        <v/>
      </c>
      <c r="Q122" s="4">
        <f>IF(O122=P122,"Match","MISMATCH")</f>
        <v/>
      </c>
      <c r="R122" s="4">
        <f>COUNTIF(E122:Q122,"MISMATCH")</f>
        <v/>
      </c>
      <c r="S122" s="4">
        <f>IF(R122=0,"Clean","Needs Review")</f>
        <v/>
      </c>
    </row>
    <row r="123">
      <c r="A123" s="4">
        <f>Provider_Source!A123</f>
        <v/>
      </c>
      <c r="B123" s="4">
        <f>Provider_Source!B123</f>
        <v/>
      </c>
      <c r="C123" s="4">
        <f>Provider_Source!H123</f>
        <v/>
      </c>
      <c r="D123" s="4">
        <f>XLOOKUP($A123,Directory_Output!$A$2:$A$201,Directory_Output!$H$2:$H$201,"NOT FOUND")</f>
        <v/>
      </c>
      <c r="E123" s="4">
        <f>IF(C123=D123,"Match","MISMATCH")</f>
        <v/>
      </c>
      <c r="F123" s="4">
        <f>Provider_Source!D123</f>
        <v/>
      </c>
      <c r="G123" s="4">
        <f>XLOOKUP($A123,Directory_Output!$A$2:$A$201,Directory_Output!$D$2:$D$201,"NOT FOUND")</f>
        <v/>
      </c>
      <c r="H123" s="4">
        <f>IF(F123=G123,"Match","MISMATCH")</f>
        <v/>
      </c>
      <c r="I123" s="4">
        <f>Provider_Source!C123</f>
        <v/>
      </c>
      <c r="J123" s="4">
        <f>XLOOKUP($A123,Directory_Output!$A$2:$A$201,Directory_Output!$C$2:$C$201,"NOT FOUND")</f>
        <v/>
      </c>
      <c r="K123" s="4">
        <f>IF(I123=J123,"Match","MISMATCH")</f>
        <v/>
      </c>
      <c r="L123" s="4">
        <f>Provider_Source!I123</f>
        <v/>
      </c>
      <c r="M123" s="4">
        <f>XLOOKUP($A123,Directory_Output!$A$2:$A$201,Directory_Output!$I$2:$I$201,"NOT FOUND")</f>
        <v/>
      </c>
      <c r="N123" s="4">
        <f>IF(L123=M123,"Match","MISMATCH")</f>
        <v/>
      </c>
      <c r="O123" s="4">
        <f>Provider_Source!J123</f>
        <v/>
      </c>
      <c r="P123" s="4">
        <f>XLOOKUP($A123,Directory_Output!$A$2:$A$201,Directory_Output!$J$2:$J$201,"NOT FOUND")</f>
        <v/>
      </c>
      <c r="Q123" s="4">
        <f>IF(O123=P123,"Match","MISMATCH")</f>
        <v/>
      </c>
      <c r="R123" s="4">
        <f>COUNTIF(E123:Q123,"MISMATCH")</f>
        <v/>
      </c>
      <c r="S123" s="4">
        <f>IF(R123=0,"Clean","Needs Review")</f>
        <v/>
      </c>
    </row>
    <row r="124">
      <c r="A124" s="4">
        <f>Provider_Source!A124</f>
        <v/>
      </c>
      <c r="B124" s="4">
        <f>Provider_Source!B124</f>
        <v/>
      </c>
      <c r="C124" s="4">
        <f>Provider_Source!H124</f>
        <v/>
      </c>
      <c r="D124" s="4">
        <f>XLOOKUP($A124,Directory_Output!$A$2:$A$201,Directory_Output!$H$2:$H$201,"NOT FOUND")</f>
        <v/>
      </c>
      <c r="E124" s="4">
        <f>IF(C124=D124,"Match","MISMATCH")</f>
        <v/>
      </c>
      <c r="F124" s="4">
        <f>Provider_Source!D124</f>
        <v/>
      </c>
      <c r="G124" s="4">
        <f>XLOOKUP($A124,Directory_Output!$A$2:$A$201,Directory_Output!$D$2:$D$201,"NOT FOUND")</f>
        <v/>
      </c>
      <c r="H124" s="4">
        <f>IF(F124=G124,"Match","MISMATCH")</f>
        <v/>
      </c>
      <c r="I124" s="4">
        <f>Provider_Source!C124</f>
        <v/>
      </c>
      <c r="J124" s="4">
        <f>XLOOKUP($A124,Directory_Output!$A$2:$A$201,Directory_Output!$C$2:$C$201,"NOT FOUND")</f>
        <v/>
      </c>
      <c r="K124" s="4">
        <f>IF(I124=J124,"Match","MISMATCH")</f>
        <v/>
      </c>
      <c r="L124" s="4">
        <f>Provider_Source!I124</f>
        <v/>
      </c>
      <c r="M124" s="4">
        <f>XLOOKUP($A124,Directory_Output!$A$2:$A$201,Directory_Output!$I$2:$I$201,"NOT FOUND")</f>
        <v/>
      </c>
      <c r="N124" s="4">
        <f>IF(L124=M124,"Match","MISMATCH")</f>
        <v/>
      </c>
      <c r="O124" s="4">
        <f>Provider_Source!J124</f>
        <v/>
      </c>
      <c r="P124" s="4">
        <f>XLOOKUP($A124,Directory_Output!$A$2:$A$201,Directory_Output!$J$2:$J$201,"NOT FOUND")</f>
        <v/>
      </c>
      <c r="Q124" s="4">
        <f>IF(O124=P124,"Match","MISMATCH")</f>
        <v/>
      </c>
      <c r="R124" s="4">
        <f>COUNTIF(E124:Q124,"MISMATCH")</f>
        <v/>
      </c>
      <c r="S124" s="4">
        <f>IF(R124=0,"Clean","Needs Review")</f>
        <v/>
      </c>
    </row>
    <row r="125">
      <c r="A125" s="4">
        <f>Provider_Source!A125</f>
        <v/>
      </c>
      <c r="B125" s="4">
        <f>Provider_Source!B125</f>
        <v/>
      </c>
      <c r="C125" s="4">
        <f>Provider_Source!H125</f>
        <v/>
      </c>
      <c r="D125" s="4">
        <f>XLOOKUP($A125,Directory_Output!$A$2:$A$201,Directory_Output!$H$2:$H$201,"NOT FOUND")</f>
        <v/>
      </c>
      <c r="E125" s="4">
        <f>IF(C125=D125,"Match","MISMATCH")</f>
        <v/>
      </c>
      <c r="F125" s="4">
        <f>Provider_Source!D125</f>
        <v/>
      </c>
      <c r="G125" s="4">
        <f>XLOOKUP($A125,Directory_Output!$A$2:$A$201,Directory_Output!$D$2:$D$201,"NOT FOUND")</f>
        <v/>
      </c>
      <c r="H125" s="4">
        <f>IF(F125=G125,"Match","MISMATCH")</f>
        <v/>
      </c>
      <c r="I125" s="4">
        <f>Provider_Source!C125</f>
        <v/>
      </c>
      <c r="J125" s="4">
        <f>XLOOKUP($A125,Directory_Output!$A$2:$A$201,Directory_Output!$C$2:$C$201,"NOT FOUND")</f>
        <v/>
      </c>
      <c r="K125" s="4">
        <f>IF(I125=J125,"Match","MISMATCH")</f>
        <v/>
      </c>
      <c r="L125" s="4">
        <f>Provider_Source!I125</f>
        <v/>
      </c>
      <c r="M125" s="4">
        <f>XLOOKUP($A125,Directory_Output!$A$2:$A$201,Directory_Output!$I$2:$I$201,"NOT FOUND")</f>
        <v/>
      </c>
      <c r="N125" s="4">
        <f>IF(L125=M125,"Match","MISMATCH")</f>
        <v/>
      </c>
      <c r="O125" s="4">
        <f>Provider_Source!J125</f>
        <v/>
      </c>
      <c r="P125" s="4">
        <f>XLOOKUP($A125,Directory_Output!$A$2:$A$201,Directory_Output!$J$2:$J$201,"NOT FOUND")</f>
        <v/>
      </c>
      <c r="Q125" s="4">
        <f>IF(O125=P125,"Match","MISMATCH")</f>
        <v/>
      </c>
      <c r="R125" s="4">
        <f>COUNTIF(E125:Q125,"MISMATCH")</f>
        <v/>
      </c>
      <c r="S125" s="4">
        <f>IF(R125=0,"Clean","Needs Review")</f>
        <v/>
      </c>
    </row>
    <row r="126">
      <c r="A126" s="4">
        <f>Provider_Source!A126</f>
        <v/>
      </c>
      <c r="B126" s="4">
        <f>Provider_Source!B126</f>
        <v/>
      </c>
      <c r="C126" s="4">
        <f>Provider_Source!H126</f>
        <v/>
      </c>
      <c r="D126" s="4">
        <f>XLOOKUP($A126,Directory_Output!$A$2:$A$201,Directory_Output!$H$2:$H$201,"NOT FOUND")</f>
        <v/>
      </c>
      <c r="E126" s="4">
        <f>IF(C126=D126,"Match","MISMATCH")</f>
        <v/>
      </c>
      <c r="F126" s="4">
        <f>Provider_Source!D126</f>
        <v/>
      </c>
      <c r="G126" s="4">
        <f>XLOOKUP($A126,Directory_Output!$A$2:$A$201,Directory_Output!$D$2:$D$201,"NOT FOUND")</f>
        <v/>
      </c>
      <c r="H126" s="4">
        <f>IF(F126=G126,"Match","MISMATCH")</f>
        <v/>
      </c>
      <c r="I126" s="4">
        <f>Provider_Source!C126</f>
        <v/>
      </c>
      <c r="J126" s="4">
        <f>XLOOKUP($A126,Directory_Output!$A$2:$A$201,Directory_Output!$C$2:$C$201,"NOT FOUND")</f>
        <v/>
      </c>
      <c r="K126" s="4">
        <f>IF(I126=J126,"Match","MISMATCH")</f>
        <v/>
      </c>
      <c r="L126" s="4">
        <f>Provider_Source!I126</f>
        <v/>
      </c>
      <c r="M126" s="4">
        <f>XLOOKUP($A126,Directory_Output!$A$2:$A$201,Directory_Output!$I$2:$I$201,"NOT FOUND")</f>
        <v/>
      </c>
      <c r="N126" s="4">
        <f>IF(L126=M126,"Match","MISMATCH")</f>
        <v/>
      </c>
      <c r="O126" s="4">
        <f>Provider_Source!J126</f>
        <v/>
      </c>
      <c r="P126" s="4">
        <f>XLOOKUP($A126,Directory_Output!$A$2:$A$201,Directory_Output!$J$2:$J$201,"NOT FOUND")</f>
        <v/>
      </c>
      <c r="Q126" s="4">
        <f>IF(O126=P126,"Match","MISMATCH")</f>
        <v/>
      </c>
      <c r="R126" s="4">
        <f>COUNTIF(E126:Q126,"MISMATCH")</f>
        <v/>
      </c>
      <c r="S126" s="4">
        <f>IF(R126=0,"Clean","Needs Review")</f>
        <v/>
      </c>
    </row>
    <row r="127">
      <c r="A127" s="4">
        <f>Provider_Source!A127</f>
        <v/>
      </c>
      <c r="B127" s="4">
        <f>Provider_Source!B127</f>
        <v/>
      </c>
      <c r="C127" s="4">
        <f>Provider_Source!H127</f>
        <v/>
      </c>
      <c r="D127" s="4">
        <f>XLOOKUP($A127,Directory_Output!$A$2:$A$201,Directory_Output!$H$2:$H$201,"NOT FOUND")</f>
        <v/>
      </c>
      <c r="E127" s="4">
        <f>IF(C127=D127,"Match","MISMATCH")</f>
        <v/>
      </c>
      <c r="F127" s="4">
        <f>Provider_Source!D127</f>
        <v/>
      </c>
      <c r="G127" s="4">
        <f>XLOOKUP($A127,Directory_Output!$A$2:$A$201,Directory_Output!$D$2:$D$201,"NOT FOUND")</f>
        <v/>
      </c>
      <c r="H127" s="4">
        <f>IF(F127=G127,"Match","MISMATCH")</f>
        <v/>
      </c>
      <c r="I127" s="4">
        <f>Provider_Source!C127</f>
        <v/>
      </c>
      <c r="J127" s="4">
        <f>XLOOKUP($A127,Directory_Output!$A$2:$A$201,Directory_Output!$C$2:$C$201,"NOT FOUND")</f>
        <v/>
      </c>
      <c r="K127" s="4">
        <f>IF(I127=J127,"Match","MISMATCH")</f>
        <v/>
      </c>
      <c r="L127" s="4">
        <f>Provider_Source!I127</f>
        <v/>
      </c>
      <c r="M127" s="4">
        <f>XLOOKUP($A127,Directory_Output!$A$2:$A$201,Directory_Output!$I$2:$I$201,"NOT FOUND")</f>
        <v/>
      </c>
      <c r="N127" s="4">
        <f>IF(L127=M127,"Match","MISMATCH")</f>
        <v/>
      </c>
      <c r="O127" s="4">
        <f>Provider_Source!J127</f>
        <v/>
      </c>
      <c r="P127" s="4">
        <f>XLOOKUP($A127,Directory_Output!$A$2:$A$201,Directory_Output!$J$2:$J$201,"NOT FOUND")</f>
        <v/>
      </c>
      <c r="Q127" s="4">
        <f>IF(O127=P127,"Match","MISMATCH")</f>
        <v/>
      </c>
      <c r="R127" s="4">
        <f>COUNTIF(E127:Q127,"MISMATCH")</f>
        <v/>
      </c>
      <c r="S127" s="4">
        <f>IF(R127=0,"Clean","Needs Review")</f>
        <v/>
      </c>
    </row>
    <row r="128">
      <c r="A128" s="4">
        <f>Provider_Source!A128</f>
        <v/>
      </c>
      <c r="B128" s="4">
        <f>Provider_Source!B128</f>
        <v/>
      </c>
      <c r="C128" s="4">
        <f>Provider_Source!H128</f>
        <v/>
      </c>
      <c r="D128" s="4">
        <f>XLOOKUP($A128,Directory_Output!$A$2:$A$201,Directory_Output!$H$2:$H$201,"NOT FOUND")</f>
        <v/>
      </c>
      <c r="E128" s="4">
        <f>IF(C128=D128,"Match","MISMATCH")</f>
        <v/>
      </c>
      <c r="F128" s="4">
        <f>Provider_Source!D128</f>
        <v/>
      </c>
      <c r="G128" s="4">
        <f>XLOOKUP($A128,Directory_Output!$A$2:$A$201,Directory_Output!$D$2:$D$201,"NOT FOUND")</f>
        <v/>
      </c>
      <c r="H128" s="4">
        <f>IF(F128=G128,"Match","MISMATCH")</f>
        <v/>
      </c>
      <c r="I128" s="4">
        <f>Provider_Source!C128</f>
        <v/>
      </c>
      <c r="J128" s="4">
        <f>XLOOKUP($A128,Directory_Output!$A$2:$A$201,Directory_Output!$C$2:$C$201,"NOT FOUND")</f>
        <v/>
      </c>
      <c r="K128" s="4">
        <f>IF(I128=J128,"Match","MISMATCH")</f>
        <v/>
      </c>
      <c r="L128" s="4">
        <f>Provider_Source!I128</f>
        <v/>
      </c>
      <c r="M128" s="4">
        <f>XLOOKUP($A128,Directory_Output!$A$2:$A$201,Directory_Output!$I$2:$I$201,"NOT FOUND")</f>
        <v/>
      </c>
      <c r="N128" s="4">
        <f>IF(L128=M128,"Match","MISMATCH")</f>
        <v/>
      </c>
      <c r="O128" s="4">
        <f>Provider_Source!J128</f>
        <v/>
      </c>
      <c r="P128" s="4">
        <f>XLOOKUP($A128,Directory_Output!$A$2:$A$201,Directory_Output!$J$2:$J$201,"NOT FOUND")</f>
        <v/>
      </c>
      <c r="Q128" s="4">
        <f>IF(O128=P128,"Match","MISMATCH")</f>
        <v/>
      </c>
      <c r="R128" s="4">
        <f>COUNTIF(E128:Q128,"MISMATCH")</f>
        <v/>
      </c>
      <c r="S128" s="4">
        <f>IF(R128=0,"Clean","Needs Review")</f>
        <v/>
      </c>
    </row>
    <row r="129">
      <c r="A129" s="4">
        <f>Provider_Source!A129</f>
        <v/>
      </c>
      <c r="B129" s="4">
        <f>Provider_Source!B129</f>
        <v/>
      </c>
      <c r="C129" s="4">
        <f>Provider_Source!H129</f>
        <v/>
      </c>
      <c r="D129" s="4">
        <f>XLOOKUP($A129,Directory_Output!$A$2:$A$201,Directory_Output!$H$2:$H$201,"NOT FOUND")</f>
        <v/>
      </c>
      <c r="E129" s="4">
        <f>IF(C129=D129,"Match","MISMATCH")</f>
        <v/>
      </c>
      <c r="F129" s="4">
        <f>Provider_Source!D129</f>
        <v/>
      </c>
      <c r="G129" s="4">
        <f>XLOOKUP($A129,Directory_Output!$A$2:$A$201,Directory_Output!$D$2:$D$201,"NOT FOUND")</f>
        <v/>
      </c>
      <c r="H129" s="4">
        <f>IF(F129=G129,"Match","MISMATCH")</f>
        <v/>
      </c>
      <c r="I129" s="4">
        <f>Provider_Source!C129</f>
        <v/>
      </c>
      <c r="J129" s="4">
        <f>XLOOKUP($A129,Directory_Output!$A$2:$A$201,Directory_Output!$C$2:$C$201,"NOT FOUND")</f>
        <v/>
      </c>
      <c r="K129" s="4">
        <f>IF(I129=J129,"Match","MISMATCH")</f>
        <v/>
      </c>
      <c r="L129" s="4">
        <f>Provider_Source!I129</f>
        <v/>
      </c>
      <c r="M129" s="4">
        <f>XLOOKUP($A129,Directory_Output!$A$2:$A$201,Directory_Output!$I$2:$I$201,"NOT FOUND")</f>
        <v/>
      </c>
      <c r="N129" s="4">
        <f>IF(L129=M129,"Match","MISMATCH")</f>
        <v/>
      </c>
      <c r="O129" s="4">
        <f>Provider_Source!J129</f>
        <v/>
      </c>
      <c r="P129" s="4">
        <f>XLOOKUP($A129,Directory_Output!$A$2:$A$201,Directory_Output!$J$2:$J$201,"NOT FOUND")</f>
        <v/>
      </c>
      <c r="Q129" s="4">
        <f>IF(O129=P129,"Match","MISMATCH")</f>
        <v/>
      </c>
      <c r="R129" s="4">
        <f>COUNTIF(E129:Q129,"MISMATCH")</f>
        <v/>
      </c>
      <c r="S129" s="4">
        <f>IF(R129=0,"Clean","Needs Review")</f>
        <v/>
      </c>
    </row>
    <row r="130">
      <c r="A130" s="4">
        <f>Provider_Source!A130</f>
        <v/>
      </c>
      <c r="B130" s="4">
        <f>Provider_Source!B130</f>
        <v/>
      </c>
      <c r="C130" s="4">
        <f>Provider_Source!H130</f>
        <v/>
      </c>
      <c r="D130" s="4">
        <f>XLOOKUP($A130,Directory_Output!$A$2:$A$201,Directory_Output!$H$2:$H$201,"NOT FOUND")</f>
        <v/>
      </c>
      <c r="E130" s="4">
        <f>IF(C130=D130,"Match","MISMATCH")</f>
        <v/>
      </c>
      <c r="F130" s="4">
        <f>Provider_Source!D130</f>
        <v/>
      </c>
      <c r="G130" s="4">
        <f>XLOOKUP($A130,Directory_Output!$A$2:$A$201,Directory_Output!$D$2:$D$201,"NOT FOUND")</f>
        <v/>
      </c>
      <c r="H130" s="4">
        <f>IF(F130=G130,"Match","MISMATCH")</f>
        <v/>
      </c>
      <c r="I130" s="4">
        <f>Provider_Source!C130</f>
        <v/>
      </c>
      <c r="J130" s="4">
        <f>XLOOKUP($A130,Directory_Output!$A$2:$A$201,Directory_Output!$C$2:$C$201,"NOT FOUND")</f>
        <v/>
      </c>
      <c r="K130" s="4">
        <f>IF(I130=J130,"Match","MISMATCH")</f>
        <v/>
      </c>
      <c r="L130" s="4">
        <f>Provider_Source!I130</f>
        <v/>
      </c>
      <c r="M130" s="4">
        <f>XLOOKUP($A130,Directory_Output!$A$2:$A$201,Directory_Output!$I$2:$I$201,"NOT FOUND")</f>
        <v/>
      </c>
      <c r="N130" s="4">
        <f>IF(L130=M130,"Match","MISMATCH")</f>
        <v/>
      </c>
      <c r="O130" s="4">
        <f>Provider_Source!J130</f>
        <v/>
      </c>
      <c r="P130" s="4">
        <f>XLOOKUP($A130,Directory_Output!$A$2:$A$201,Directory_Output!$J$2:$J$201,"NOT FOUND")</f>
        <v/>
      </c>
      <c r="Q130" s="4">
        <f>IF(O130=P130,"Match","MISMATCH")</f>
        <v/>
      </c>
      <c r="R130" s="4">
        <f>COUNTIF(E130:Q130,"MISMATCH")</f>
        <v/>
      </c>
      <c r="S130" s="4">
        <f>IF(R130=0,"Clean","Needs Review")</f>
        <v/>
      </c>
    </row>
    <row r="131">
      <c r="A131" s="4">
        <f>Provider_Source!A131</f>
        <v/>
      </c>
      <c r="B131" s="4">
        <f>Provider_Source!B131</f>
        <v/>
      </c>
      <c r="C131" s="4">
        <f>Provider_Source!H131</f>
        <v/>
      </c>
      <c r="D131" s="4">
        <f>XLOOKUP($A131,Directory_Output!$A$2:$A$201,Directory_Output!$H$2:$H$201,"NOT FOUND")</f>
        <v/>
      </c>
      <c r="E131" s="4">
        <f>IF(C131=D131,"Match","MISMATCH")</f>
        <v/>
      </c>
      <c r="F131" s="4">
        <f>Provider_Source!D131</f>
        <v/>
      </c>
      <c r="G131" s="4">
        <f>XLOOKUP($A131,Directory_Output!$A$2:$A$201,Directory_Output!$D$2:$D$201,"NOT FOUND")</f>
        <v/>
      </c>
      <c r="H131" s="4">
        <f>IF(F131=G131,"Match","MISMATCH")</f>
        <v/>
      </c>
      <c r="I131" s="4">
        <f>Provider_Source!C131</f>
        <v/>
      </c>
      <c r="J131" s="4">
        <f>XLOOKUP($A131,Directory_Output!$A$2:$A$201,Directory_Output!$C$2:$C$201,"NOT FOUND")</f>
        <v/>
      </c>
      <c r="K131" s="4">
        <f>IF(I131=J131,"Match","MISMATCH")</f>
        <v/>
      </c>
      <c r="L131" s="4">
        <f>Provider_Source!I131</f>
        <v/>
      </c>
      <c r="M131" s="4">
        <f>XLOOKUP($A131,Directory_Output!$A$2:$A$201,Directory_Output!$I$2:$I$201,"NOT FOUND")</f>
        <v/>
      </c>
      <c r="N131" s="4">
        <f>IF(L131=M131,"Match","MISMATCH")</f>
        <v/>
      </c>
      <c r="O131" s="4">
        <f>Provider_Source!J131</f>
        <v/>
      </c>
      <c r="P131" s="4">
        <f>XLOOKUP($A131,Directory_Output!$A$2:$A$201,Directory_Output!$J$2:$J$201,"NOT FOUND")</f>
        <v/>
      </c>
      <c r="Q131" s="4">
        <f>IF(O131=P131,"Match","MISMATCH")</f>
        <v/>
      </c>
      <c r="R131" s="4">
        <f>COUNTIF(E131:Q131,"MISMATCH")</f>
        <v/>
      </c>
      <c r="S131" s="4">
        <f>IF(R131=0,"Clean","Needs Review")</f>
        <v/>
      </c>
    </row>
    <row r="132">
      <c r="A132" s="4">
        <f>Provider_Source!A132</f>
        <v/>
      </c>
      <c r="B132" s="4">
        <f>Provider_Source!B132</f>
        <v/>
      </c>
      <c r="C132" s="4">
        <f>Provider_Source!H132</f>
        <v/>
      </c>
      <c r="D132" s="4">
        <f>XLOOKUP($A132,Directory_Output!$A$2:$A$201,Directory_Output!$H$2:$H$201,"NOT FOUND")</f>
        <v/>
      </c>
      <c r="E132" s="4">
        <f>IF(C132=D132,"Match","MISMATCH")</f>
        <v/>
      </c>
      <c r="F132" s="4">
        <f>Provider_Source!D132</f>
        <v/>
      </c>
      <c r="G132" s="4">
        <f>XLOOKUP($A132,Directory_Output!$A$2:$A$201,Directory_Output!$D$2:$D$201,"NOT FOUND")</f>
        <v/>
      </c>
      <c r="H132" s="4">
        <f>IF(F132=G132,"Match","MISMATCH")</f>
        <v/>
      </c>
      <c r="I132" s="4">
        <f>Provider_Source!C132</f>
        <v/>
      </c>
      <c r="J132" s="4">
        <f>XLOOKUP($A132,Directory_Output!$A$2:$A$201,Directory_Output!$C$2:$C$201,"NOT FOUND")</f>
        <v/>
      </c>
      <c r="K132" s="4">
        <f>IF(I132=J132,"Match","MISMATCH")</f>
        <v/>
      </c>
      <c r="L132" s="4">
        <f>Provider_Source!I132</f>
        <v/>
      </c>
      <c r="M132" s="4">
        <f>XLOOKUP($A132,Directory_Output!$A$2:$A$201,Directory_Output!$I$2:$I$201,"NOT FOUND")</f>
        <v/>
      </c>
      <c r="N132" s="4">
        <f>IF(L132=M132,"Match","MISMATCH")</f>
        <v/>
      </c>
      <c r="O132" s="4">
        <f>Provider_Source!J132</f>
        <v/>
      </c>
      <c r="P132" s="4">
        <f>XLOOKUP($A132,Directory_Output!$A$2:$A$201,Directory_Output!$J$2:$J$201,"NOT FOUND")</f>
        <v/>
      </c>
      <c r="Q132" s="4">
        <f>IF(O132=P132,"Match","MISMATCH")</f>
        <v/>
      </c>
      <c r="R132" s="4">
        <f>COUNTIF(E132:Q132,"MISMATCH")</f>
        <v/>
      </c>
      <c r="S132" s="4">
        <f>IF(R132=0,"Clean","Needs Review")</f>
        <v/>
      </c>
    </row>
    <row r="133">
      <c r="A133" s="4">
        <f>Provider_Source!A133</f>
        <v/>
      </c>
      <c r="B133" s="4">
        <f>Provider_Source!B133</f>
        <v/>
      </c>
      <c r="C133" s="4">
        <f>Provider_Source!H133</f>
        <v/>
      </c>
      <c r="D133" s="4">
        <f>XLOOKUP($A133,Directory_Output!$A$2:$A$201,Directory_Output!$H$2:$H$201,"NOT FOUND")</f>
        <v/>
      </c>
      <c r="E133" s="4">
        <f>IF(C133=D133,"Match","MISMATCH")</f>
        <v/>
      </c>
      <c r="F133" s="4">
        <f>Provider_Source!D133</f>
        <v/>
      </c>
      <c r="G133" s="4">
        <f>XLOOKUP($A133,Directory_Output!$A$2:$A$201,Directory_Output!$D$2:$D$201,"NOT FOUND")</f>
        <v/>
      </c>
      <c r="H133" s="4">
        <f>IF(F133=G133,"Match","MISMATCH")</f>
        <v/>
      </c>
      <c r="I133" s="4">
        <f>Provider_Source!C133</f>
        <v/>
      </c>
      <c r="J133" s="4">
        <f>XLOOKUP($A133,Directory_Output!$A$2:$A$201,Directory_Output!$C$2:$C$201,"NOT FOUND")</f>
        <v/>
      </c>
      <c r="K133" s="4">
        <f>IF(I133=J133,"Match","MISMATCH")</f>
        <v/>
      </c>
      <c r="L133" s="4">
        <f>Provider_Source!I133</f>
        <v/>
      </c>
      <c r="M133" s="4">
        <f>XLOOKUP($A133,Directory_Output!$A$2:$A$201,Directory_Output!$I$2:$I$201,"NOT FOUND")</f>
        <v/>
      </c>
      <c r="N133" s="4">
        <f>IF(L133=M133,"Match","MISMATCH")</f>
        <v/>
      </c>
      <c r="O133" s="4">
        <f>Provider_Source!J133</f>
        <v/>
      </c>
      <c r="P133" s="4">
        <f>XLOOKUP($A133,Directory_Output!$A$2:$A$201,Directory_Output!$J$2:$J$201,"NOT FOUND")</f>
        <v/>
      </c>
      <c r="Q133" s="4">
        <f>IF(O133=P133,"Match","MISMATCH")</f>
        <v/>
      </c>
      <c r="R133" s="4">
        <f>COUNTIF(E133:Q133,"MISMATCH")</f>
        <v/>
      </c>
      <c r="S133" s="4">
        <f>IF(R133=0,"Clean","Needs Review")</f>
        <v/>
      </c>
    </row>
    <row r="134">
      <c r="A134" s="4">
        <f>Provider_Source!A134</f>
        <v/>
      </c>
      <c r="B134" s="4">
        <f>Provider_Source!B134</f>
        <v/>
      </c>
      <c r="C134" s="4">
        <f>Provider_Source!H134</f>
        <v/>
      </c>
      <c r="D134" s="4">
        <f>XLOOKUP($A134,Directory_Output!$A$2:$A$201,Directory_Output!$H$2:$H$201,"NOT FOUND")</f>
        <v/>
      </c>
      <c r="E134" s="4">
        <f>IF(C134=D134,"Match","MISMATCH")</f>
        <v/>
      </c>
      <c r="F134" s="4">
        <f>Provider_Source!D134</f>
        <v/>
      </c>
      <c r="G134" s="4">
        <f>XLOOKUP($A134,Directory_Output!$A$2:$A$201,Directory_Output!$D$2:$D$201,"NOT FOUND")</f>
        <v/>
      </c>
      <c r="H134" s="4">
        <f>IF(F134=G134,"Match","MISMATCH")</f>
        <v/>
      </c>
      <c r="I134" s="4">
        <f>Provider_Source!C134</f>
        <v/>
      </c>
      <c r="J134" s="4">
        <f>XLOOKUP($A134,Directory_Output!$A$2:$A$201,Directory_Output!$C$2:$C$201,"NOT FOUND")</f>
        <v/>
      </c>
      <c r="K134" s="4">
        <f>IF(I134=J134,"Match","MISMATCH")</f>
        <v/>
      </c>
      <c r="L134" s="4">
        <f>Provider_Source!I134</f>
        <v/>
      </c>
      <c r="M134" s="4">
        <f>XLOOKUP($A134,Directory_Output!$A$2:$A$201,Directory_Output!$I$2:$I$201,"NOT FOUND")</f>
        <v/>
      </c>
      <c r="N134" s="4">
        <f>IF(L134=M134,"Match","MISMATCH")</f>
        <v/>
      </c>
      <c r="O134" s="4">
        <f>Provider_Source!J134</f>
        <v/>
      </c>
      <c r="P134" s="4">
        <f>XLOOKUP($A134,Directory_Output!$A$2:$A$201,Directory_Output!$J$2:$J$201,"NOT FOUND")</f>
        <v/>
      </c>
      <c r="Q134" s="4">
        <f>IF(O134=P134,"Match","MISMATCH")</f>
        <v/>
      </c>
      <c r="R134" s="4">
        <f>COUNTIF(E134:Q134,"MISMATCH")</f>
        <v/>
      </c>
      <c r="S134" s="4">
        <f>IF(R134=0,"Clean","Needs Review")</f>
        <v/>
      </c>
    </row>
    <row r="135">
      <c r="A135" s="4">
        <f>Provider_Source!A135</f>
        <v/>
      </c>
      <c r="B135" s="4">
        <f>Provider_Source!B135</f>
        <v/>
      </c>
      <c r="C135" s="4">
        <f>Provider_Source!H135</f>
        <v/>
      </c>
      <c r="D135" s="4">
        <f>XLOOKUP($A135,Directory_Output!$A$2:$A$201,Directory_Output!$H$2:$H$201,"NOT FOUND")</f>
        <v/>
      </c>
      <c r="E135" s="4">
        <f>IF(C135=D135,"Match","MISMATCH")</f>
        <v/>
      </c>
      <c r="F135" s="4">
        <f>Provider_Source!D135</f>
        <v/>
      </c>
      <c r="G135" s="4">
        <f>XLOOKUP($A135,Directory_Output!$A$2:$A$201,Directory_Output!$D$2:$D$201,"NOT FOUND")</f>
        <v/>
      </c>
      <c r="H135" s="4">
        <f>IF(F135=G135,"Match","MISMATCH")</f>
        <v/>
      </c>
      <c r="I135" s="4">
        <f>Provider_Source!C135</f>
        <v/>
      </c>
      <c r="J135" s="4">
        <f>XLOOKUP($A135,Directory_Output!$A$2:$A$201,Directory_Output!$C$2:$C$201,"NOT FOUND")</f>
        <v/>
      </c>
      <c r="K135" s="4">
        <f>IF(I135=J135,"Match","MISMATCH")</f>
        <v/>
      </c>
      <c r="L135" s="4">
        <f>Provider_Source!I135</f>
        <v/>
      </c>
      <c r="M135" s="4">
        <f>XLOOKUP($A135,Directory_Output!$A$2:$A$201,Directory_Output!$I$2:$I$201,"NOT FOUND")</f>
        <v/>
      </c>
      <c r="N135" s="4">
        <f>IF(L135=M135,"Match","MISMATCH")</f>
        <v/>
      </c>
      <c r="O135" s="4">
        <f>Provider_Source!J135</f>
        <v/>
      </c>
      <c r="P135" s="4">
        <f>XLOOKUP($A135,Directory_Output!$A$2:$A$201,Directory_Output!$J$2:$J$201,"NOT FOUND")</f>
        <v/>
      </c>
      <c r="Q135" s="4">
        <f>IF(O135=P135,"Match","MISMATCH")</f>
        <v/>
      </c>
      <c r="R135" s="4">
        <f>COUNTIF(E135:Q135,"MISMATCH")</f>
        <v/>
      </c>
      <c r="S135" s="4">
        <f>IF(R135=0,"Clean","Needs Review")</f>
        <v/>
      </c>
    </row>
    <row r="136">
      <c r="A136" s="4">
        <f>Provider_Source!A136</f>
        <v/>
      </c>
      <c r="B136" s="4">
        <f>Provider_Source!B136</f>
        <v/>
      </c>
      <c r="C136" s="4">
        <f>Provider_Source!H136</f>
        <v/>
      </c>
      <c r="D136" s="4">
        <f>XLOOKUP($A136,Directory_Output!$A$2:$A$201,Directory_Output!$H$2:$H$201,"NOT FOUND")</f>
        <v/>
      </c>
      <c r="E136" s="4">
        <f>IF(C136=D136,"Match","MISMATCH")</f>
        <v/>
      </c>
      <c r="F136" s="4">
        <f>Provider_Source!D136</f>
        <v/>
      </c>
      <c r="G136" s="4">
        <f>XLOOKUP($A136,Directory_Output!$A$2:$A$201,Directory_Output!$D$2:$D$201,"NOT FOUND")</f>
        <v/>
      </c>
      <c r="H136" s="4">
        <f>IF(F136=G136,"Match","MISMATCH")</f>
        <v/>
      </c>
      <c r="I136" s="4">
        <f>Provider_Source!C136</f>
        <v/>
      </c>
      <c r="J136" s="4">
        <f>XLOOKUP($A136,Directory_Output!$A$2:$A$201,Directory_Output!$C$2:$C$201,"NOT FOUND")</f>
        <v/>
      </c>
      <c r="K136" s="4">
        <f>IF(I136=J136,"Match","MISMATCH")</f>
        <v/>
      </c>
      <c r="L136" s="4">
        <f>Provider_Source!I136</f>
        <v/>
      </c>
      <c r="M136" s="4">
        <f>XLOOKUP($A136,Directory_Output!$A$2:$A$201,Directory_Output!$I$2:$I$201,"NOT FOUND")</f>
        <v/>
      </c>
      <c r="N136" s="4">
        <f>IF(L136=M136,"Match","MISMATCH")</f>
        <v/>
      </c>
      <c r="O136" s="4">
        <f>Provider_Source!J136</f>
        <v/>
      </c>
      <c r="P136" s="4">
        <f>XLOOKUP($A136,Directory_Output!$A$2:$A$201,Directory_Output!$J$2:$J$201,"NOT FOUND")</f>
        <v/>
      </c>
      <c r="Q136" s="4">
        <f>IF(O136=P136,"Match","MISMATCH")</f>
        <v/>
      </c>
      <c r="R136" s="4">
        <f>COUNTIF(E136:Q136,"MISMATCH")</f>
        <v/>
      </c>
      <c r="S136" s="4">
        <f>IF(R136=0,"Clean","Needs Review")</f>
        <v/>
      </c>
    </row>
    <row r="137">
      <c r="A137" s="4">
        <f>Provider_Source!A137</f>
        <v/>
      </c>
      <c r="B137" s="4">
        <f>Provider_Source!B137</f>
        <v/>
      </c>
      <c r="C137" s="4">
        <f>Provider_Source!H137</f>
        <v/>
      </c>
      <c r="D137" s="4">
        <f>XLOOKUP($A137,Directory_Output!$A$2:$A$201,Directory_Output!$H$2:$H$201,"NOT FOUND")</f>
        <v/>
      </c>
      <c r="E137" s="4">
        <f>IF(C137=D137,"Match","MISMATCH")</f>
        <v/>
      </c>
      <c r="F137" s="4">
        <f>Provider_Source!D137</f>
        <v/>
      </c>
      <c r="G137" s="4">
        <f>XLOOKUP($A137,Directory_Output!$A$2:$A$201,Directory_Output!$D$2:$D$201,"NOT FOUND")</f>
        <v/>
      </c>
      <c r="H137" s="4">
        <f>IF(F137=G137,"Match","MISMATCH")</f>
        <v/>
      </c>
      <c r="I137" s="4">
        <f>Provider_Source!C137</f>
        <v/>
      </c>
      <c r="J137" s="4">
        <f>XLOOKUP($A137,Directory_Output!$A$2:$A$201,Directory_Output!$C$2:$C$201,"NOT FOUND")</f>
        <v/>
      </c>
      <c r="K137" s="4">
        <f>IF(I137=J137,"Match","MISMATCH")</f>
        <v/>
      </c>
      <c r="L137" s="4">
        <f>Provider_Source!I137</f>
        <v/>
      </c>
      <c r="M137" s="4">
        <f>XLOOKUP($A137,Directory_Output!$A$2:$A$201,Directory_Output!$I$2:$I$201,"NOT FOUND")</f>
        <v/>
      </c>
      <c r="N137" s="4">
        <f>IF(L137=M137,"Match","MISMATCH")</f>
        <v/>
      </c>
      <c r="O137" s="4">
        <f>Provider_Source!J137</f>
        <v/>
      </c>
      <c r="P137" s="4">
        <f>XLOOKUP($A137,Directory_Output!$A$2:$A$201,Directory_Output!$J$2:$J$201,"NOT FOUND")</f>
        <v/>
      </c>
      <c r="Q137" s="4">
        <f>IF(O137=P137,"Match","MISMATCH")</f>
        <v/>
      </c>
      <c r="R137" s="4">
        <f>COUNTIF(E137:Q137,"MISMATCH")</f>
        <v/>
      </c>
      <c r="S137" s="4">
        <f>IF(R137=0,"Clean","Needs Review")</f>
        <v/>
      </c>
    </row>
    <row r="138">
      <c r="A138" s="4">
        <f>Provider_Source!A138</f>
        <v/>
      </c>
      <c r="B138" s="4">
        <f>Provider_Source!B138</f>
        <v/>
      </c>
      <c r="C138" s="4">
        <f>Provider_Source!H138</f>
        <v/>
      </c>
      <c r="D138" s="4">
        <f>XLOOKUP($A138,Directory_Output!$A$2:$A$201,Directory_Output!$H$2:$H$201,"NOT FOUND")</f>
        <v/>
      </c>
      <c r="E138" s="4">
        <f>IF(C138=D138,"Match","MISMATCH")</f>
        <v/>
      </c>
      <c r="F138" s="4">
        <f>Provider_Source!D138</f>
        <v/>
      </c>
      <c r="G138" s="4">
        <f>XLOOKUP($A138,Directory_Output!$A$2:$A$201,Directory_Output!$D$2:$D$201,"NOT FOUND")</f>
        <v/>
      </c>
      <c r="H138" s="4">
        <f>IF(F138=G138,"Match","MISMATCH")</f>
        <v/>
      </c>
      <c r="I138" s="4">
        <f>Provider_Source!C138</f>
        <v/>
      </c>
      <c r="J138" s="4">
        <f>XLOOKUP($A138,Directory_Output!$A$2:$A$201,Directory_Output!$C$2:$C$201,"NOT FOUND")</f>
        <v/>
      </c>
      <c r="K138" s="4">
        <f>IF(I138=J138,"Match","MISMATCH")</f>
        <v/>
      </c>
      <c r="L138" s="4">
        <f>Provider_Source!I138</f>
        <v/>
      </c>
      <c r="M138" s="4">
        <f>XLOOKUP($A138,Directory_Output!$A$2:$A$201,Directory_Output!$I$2:$I$201,"NOT FOUND")</f>
        <v/>
      </c>
      <c r="N138" s="4">
        <f>IF(L138=M138,"Match","MISMATCH")</f>
        <v/>
      </c>
      <c r="O138" s="4">
        <f>Provider_Source!J138</f>
        <v/>
      </c>
      <c r="P138" s="4">
        <f>XLOOKUP($A138,Directory_Output!$A$2:$A$201,Directory_Output!$J$2:$J$201,"NOT FOUND")</f>
        <v/>
      </c>
      <c r="Q138" s="4">
        <f>IF(O138=P138,"Match","MISMATCH")</f>
        <v/>
      </c>
      <c r="R138" s="4">
        <f>COUNTIF(E138:Q138,"MISMATCH")</f>
        <v/>
      </c>
      <c r="S138" s="4">
        <f>IF(R138=0,"Clean","Needs Review")</f>
        <v/>
      </c>
    </row>
    <row r="139">
      <c r="A139" s="4">
        <f>Provider_Source!A139</f>
        <v/>
      </c>
      <c r="B139" s="4">
        <f>Provider_Source!B139</f>
        <v/>
      </c>
      <c r="C139" s="4">
        <f>Provider_Source!H139</f>
        <v/>
      </c>
      <c r="D139" s="4">
        <f>XLOOKUP($A139,Directory_Output!$A$2:$A$201,Directory_Output!$H$2:$H$201,"NOT FOUND")</f>
        <v/>
      </c>
      <c r="E139" s="4">
        <f>IF(C139=D139,"Match","MISMATCH")</f>
        <v/>
      </c>
      <c r="F139" s="4">
        <f>Provider_Source!D139</f>
        <v/>
      </c>
      <c r="G139" s="4">
        <f>XLOOKUP($A139,Directory_Output!$A$2:$A$201,Directory_Output!$D$2:$D$201,"NOT FOUND")</f>
        <v/>
      </c>
      <c r="H139" s="4">
        <f>IF(F139=G139,"Match","MISMATCH")</f>
        <v/>
      </c>
      <c r="I139" s="4">
        <f>Provider_Source!C139</f>
        <v/>
      </c>
      <c r="J139" s="4">
        <f>XLOOKUP($A139,Directory_Output!$A$2:$A$201,Directory_Output!$C$2:$C$201,"NOT FOUND")</f>
        <v/>
      </c>
      <c r="K139" s="4">
        <f>IF(I139=J139,"Match","MISMATCH")</f>
        <v/>
      </c>
      <c r="L139" s="4">
        <f>Provider_Source!I139</f>
        <v/>
      </c>
      <c r="M139" s="4">
        <f>XLOOKUP($A139,Directory_Output!$A$2:$A$201,Directory_Output!$I$2:$I$201,"NOT FOUND")</f>
        <v/>
      </c>
      <c r="N139" s="4">
        <f>IF(L139=M139,"Match","MISMATCH")</f>
        <v/>
      </c>
      <c r="O139" s="4">
        <f>Provider_Source!J139</f>
        <v/>
      </c>
      <c r="P139" s="4">
        <f>XLOOKUP($A139,Directory_Output!$A$2:$A$201,Directory_Output!$J$2:$J$201,"NOT FOUND")</f>
        <v/>
      </c>
      <c r="Q139" s="4">
        <f>IF(O139=P139,"Match","MISMATCH")</f>
        <v/>
      </c>
      <c r="R139" s="4">
        <f>COUNTIF(E139:Q139,"MISMATCH")</f>
        <v/>
      </c>
      <c r="S139" s="4">
        <f>IF(R139=0,"Clean","Needs Review")</f>
        <v/>
      </c>
    </row>
    <row r="140">
      <c r="A140" s="4">
        <f>Provider_Source!A140</f>
        <v/>
      </c>
      <c r="B140" s="4">
        <f>Provider_Source!B140</f>
        <v/>
      </c>
      <c r="C140" s="4">
        <f>Provider_Source!H140</f>
        <v/>
      </c>
      <c r="D140" s="4">
        <f>XLOOKUP($A140,Directory_Output!$A$2:$A$201,Directory_Output!$H$2:$H$201,"NOT FOUND")</f>
        <v/>
      </c>
      <c r="E140" s="4">
        <f>IF(C140=D140,"Match","MISMATCH")</f>
        <v/>
      </c>
      <c r="F140" s="4">
        <f>Provider_Source!D140</f>
        <v/>
      </c>
      <c r="G140" s="4">
        <f>XLOOKUP($A140,Directory_Output!$A$2:$A$201,Directory_Output!$D$2:$D$201,"NOT FOUND")</f>
        <v/>
      </c>
      <c r="H140" s="4">
        <f>IF(F140=G140,"Match","MISMATCH")</f>
        <v/>
      </c>
      <c r="I140" s="4">
        <f>Provider_Source!C140</f>
        <v/>
      </c>
      <c r="J140" s="4">
        <f>XLOOKUP($A140,Directory_Output!$A$2:$A$201,Directory_Output!$C$2:$C$201,"NOT FOUND")</f>
        <v/>
      </c>
      <c r="K140" s="4">
        <f>IF(I140=J140,"Match","MISMATCH")</f>
        <v/>
      </c>
      <c r="L140" s="4">
        <f>Provider_Source!I140</f>
        <v/>
      </c>
      <c r="M140" s="4">
        <f>XLOOKUP($A140,Directory_Output!$A$2:$A$201,Directory_Output!$I$2:$I$201,"NOT FOUND")</f>
        <v/>
      </c>
      <c r="N140" s="4">
        <f>IF(L140=M140,"Match","MISMATCH")</f>
        <v/>
      </c>
      <c r="O140" s="4">
        <f>Provider_Source!J140</f>
        <v/>
      </c>
      <c r="P140" s="4">
        <f>XLOOKUP($A140,Directory_Output!$A$2:$A$201,Directory_Output!$J$2:$J$201,"NOT FOUND")</f>
        <v/>
      </c>
      <c r="Q140" s="4">
        <f>IF(O140=P140,"Match","MISMATCH")</f>
        <v/>
      </c>
      <c r="R140" s="4">
        <f>COUNTIF(E140:Q140,"MISMATCH")</f>
        <v/>
      </c>
      <c r="S140" s="4">
        <f>IF(R140=0,"Clean","Needs Review")</f>
        <v/>
      </c>
    </row>
    <row r="141">
      <c r="A141" s="4">
        <f>Provider_Source!A141</f>
        <v/>
      </c>
      <c r="B141" s="4">
        <f>Provider_Source!B141</f>
        <v/>
      </c>
      <c r="C141" s="4">
        <f>Provider_Source!H141</f>
        <v/>
      </c>
      <c r="D141" s="4">
        <f>XLOOKUP($A141,Directory_Output!$A$2:$A$201,Directory_Output!$H$2:$H$201,"NOT FOUND")</f>
        <v/>
      </c>
      <c r="E141" s="4">
        <f>IF(C141=D141,"Match","MISMATCH")</f>
        <v/>
      </c>
      <c r="F141" s="4">
        <f>Provider_Source!D141</f>
        <v/>
      </c>
      <c r="G141" s="4">
        <f>XLOOKUP($A141,Directory_Output!$A$2:$A$201,Directory_Output!$D$2:$D$201,"NOT FOUND")</f>
        <v/>
      </c>
      <c r="H141" s="4">
        <f>IF(F141=G141,"Match","MISMATCH")</f>
        <v/>
      </c>
      <c r="I141" s="4">
        <f>Provider_Source!C141</f>
        <v/>
      </c>
      <c r="J141" s="4">
        <f>XLOOKUP($A141,Directory_Output!$A$2:$A$201,Directory_Output!$C$2:$C$201,"NOT FOUND")</f>
        <v/>
      </c>
      <c r="K141" s="4">
        <f>IF(I141=J141,"Match","MISMATCH")</f>
        <v/>
      </c>
      <c r="L141" s="4">
        <f>Provider_Source!I141</f>
        <v/>
      </c>
      <c r="M141" s="4">
        <f>XLOOKUP($A141,Directory_Output!$A$2:$A$201,Directory_Output!$I$2:$I$201,"NOT FOUND")</f>
        <v/>
      </c>
      <c r="N141" s="4">
        <f>IF(L141=M141,"Match","MISMATCH")</f>
        <v/>
      </c>
      <c r="O141" s="4">
        <f>Provider_Source!J141</f>
        <v/>
      </c>
      <c r="P141" s="4">
        <f>XLOOKUP($A141,Directory_Output!$A$2:$A$201,Directory_Output!$J$2:$J$201,"NOT FOUND")</f>
        <v/>
      </c>
      <c r="Q141" s="4">
        <f>IF(O141=P141,"Match","MISMATCH")</f>
        <v/>
      </c>
      <c r="R141" s="4">
        <f>COUNTIF(E141:Q141,"MISMATCH")</f>
        <v/>
      </c>
      <c r="S141" s="4">
        <f>IF(R141=0,"Clean","Needs Review")</f>
        <v/>
      </c>
    </row>
    <row r="142">
      <c r="A142" s="4">
        <f>Provider_Source!A142</f>
        <v/>
      </c>
      <c r="B142" s="4">
        <f>Provider_Source!B142</f>
        <v/>
      </c>
      <c r="C142" s="4">
        <f>Provider_Source!H142</f>
        <v/>
      </c>
      <c r="D142" s="4">
        <f>XLOOKUP($A142,Directory_Output!$A$2:$A$201,Directory_Output!$H$2:$H$201,"NOT FOUND")</f>
        <v/>
      </c>
      <c r="E142" s="4">
        <f>IF(C142=D142,"Match","MISMATCH")</f>
        <v/>
      </c>
      <c r="F142" s="4">
        <f>Provider_Source!D142</f>
        <v/>
      </c>
      <c r="G142" s="4">
        <f>XLOOKUP($A142,Directory_Output!$A$2:$A$201,Directory_Output!$D$2:$D$201,"NOT FOUND")</f>
        <v/>
      </c>
      <c r="H142" s="4">
        <f>IF(F142=G142,"Match","MISMATCH")</f>
        <v/>
      </c>
      <c r="I142" s="4">
        <f>Provider_Source!C142</f>
        <v/>
      </c>
      <c r="J142" s="4">
        <f>XLOOKUP($A142,Directory_Output!$A$2:$A$201,Directory_Output!$C$2:$C$201,"NOT FOUND")</f>
        <v/>
      </c>
      <c r="K142" s="4">
        <f>IF(I142=J142,"Match","MISMATCH")</f>
        <v/>
      </c>
      <c r="L142" s="4">
        <f>Provider_Source!I142</f>
        <v/>
      </c>
      <c r="M142" s="4">
        <f>XLOOKUP($A142,Directory_Output!$A$2:$A$201,Directory_Output!$I$2:$I$201,"NOT FOUND")</f>
        <v/>
      </c>
      <c r="N142" s="4">
        <f>IF(L142=M142,"Match","MISMATCH")</f>
        <v/>
      </c>
      <c r="O142" s="4">
        <f>Provider_Source!J142</f>
        <v/>
      </c>
      <c r="P142" s="4">
        <f>XLOOKUP($A142,Directory_Output!$A$2:$A$201,Directory_Output!$J$2:$J$201,"NOT FOUND")</f>
        <v/>
      </c>
      <c r="Q142" s="4">
        <f>IF(O142=P142,"Match","MISMATCH")</f>
        <v/>
      </c>
      <c r="R142" s="4">
        <f>COUNTIF(E142:Q142,"MISMATCH")</f>
        <v/>
      </c>
      <c r="S142" s="4">
        <f>IF(R142=0,"Clean","Needs Review")</f>
        <v/>
      </c>
    </row>
    <row r="143">
      <c r="A143" s="4">
        <f>Provider_Source!A143</f>
        <v/>
      </c>
      <c r="B143" s="4">
        <f>Provider_Source!B143</f>
        <v/>
      </c>
      <c r="C143" s="4">
        <f>Provider_Source!H143</f>
        <v/>
      </c>
      <c r="D143" s="4">
        <f>XLOOKUP($A143,Directory_Output!$A$2:$A$201,Directory_Output!$H$2:$H$201,"NOT FOUND")</f>
        <v/>
      </c>
      <c r="E143" s="4">
        <f>IF(C143=D143,"Match","MISMATCH")</f>
        <v/>
      </c>
      <c r="F143" s="4">
        <f>Provider_Source!D143</f>
        <v/>
      </c>
      <c r="G143" s="4">
        <f>XLOOKUP($A143,Directory_Output!$A$2:$A$201,Directory_Output!$D$2:$D$201,"NOT FOUND")</f>
        <v/>
      </c>
      <c r="H143" s="4">
        <f>IF(F143=G143,"Match","MISMATCH")</f>
        <v/>
      </c>
      <c r="I143" s="4">
        <f>Provider_Source!C143</f>
        <v/>
      </c>
      <c r="J143" s="4">
        <f>XLOOKUP($A143,Directory_Output!$A$2:$A$201,Directory_Output!$C$2:$C$201,"NOT FOUND")</f>
        <v/>
      </c>
      <c r="K143" s="4">
        <f>IF(I143=J143,"Match","MISMATCH")</f>
        <v/>
      </c>
      <c r="L143" s="4">
        <f>Provider_Source!I143</f>
        <v/>
      </c>
      <c r="M143" s="4">
        <f>XLOOKUP($A143,Directory_Output!$A$2:$A$201,Directory_Output!$I$2:$I$201,"NOT FOUND")</f>
        <v/>
      </c>
      <c r="N143" s="4">
        <f>IF(L143=M143,"Match","MISMATCH")</f>
        <v/>
      </c>
      <c r="O143" s="4">
        <f>Provider_Source!J143</f>
        <v/>
      </c>
      <c r="P143" s="4">
        <f>XLOOKUP($A143,Directory_Output!$A$2:$A$201,Directory_Output!$J$2:$J$201,"NOT FOUND")</f>
        <v/>
      </c>
      <c r="Q143" s="4">
        <f>IF(O143=P143,"Match","MISMATCH")</f>
        <v/>
      </c>
      <c r="R143" s="4">
        <f>COUNTIF(E143:Q143,"MISMATCH")</f>
        <v/>
      </c>
      <c r="S143" s="4">
        <f>IF(R143=0,"Clean","Needs Review")</f>
        <v/>
      </c>
    </row>
    <row r="144">
      <c r="A144" s="4">
        <f>Provider_Source!A144</f>
        <v/>
      </c>
      <c r="B144" s="4">
        <f>Provider_Source!B144</f>
        <v/>
      </c>
      <c r="C144" s="4">
        <f>Provider_Source!H144</f>
        <v/>
      </c>
      <c r="D144" s="4">
        <f>XLOOKUP($A144,Directory_Output!$A$2:$A$201,Directory_Output!$H$2:$H$201,"NOT FOUND")</f>
        <v/>
      </c>
      <c r="E144" s="4">
        <f>IF(C144=D144,"Match","MISMATCH")</f>
        <v/>
      </c>
      <c r="F144" s="4">
        <f>Provider_Source!D144</f>
        <v/>
      </c>
      <c r="G144" s="4">
        <f>XLOOKUP($A144,Directory_Output!$A$2:$A$201,Directory_Output!$D$2:$D$201,"NOT FOUND")</f>
        <v/>
      </c>
      <c r="H144" s="4">
        <f>IF(F144=G144,"Match","MISMATCH")</f>
        <v/>
      </c>
      <c r="I144" s="4">
        <f>Provider_Source!C144</f>
        <v/>
      </c>
      <c r="J144" s="4">
        <f>XLOOKUP($A144,Directory_Output!$A$2:$A$201,Directory_Output!$C$2:$C$201,"NOT FOUND")</f>
        <v/>
      </c>
      <c r="K144" s="4">
        <f>IF(I144=J144,"Match","MISMATCH")</f>
        <v/>
      </c>
      <c r="L144" s="4">
        <f>Provider_Source!I144</f>
        <v/>
      </c>
      <c r="M144" s="4">
        <f>XLOOKUP($A144,Directory_Output!$A$2:$A$201,Directory_Output!$I$2:$I$201,"NOT FOUND")</f>
        <v/>
      </c>
      <c r="N144" s="4">
        <f>IF(L144=M144,"Match","MISMATCH")</f>
        <v/>
      </c>
      <c r="O144" s="4">
        <f>Provider_Source!J144</f>
        <v/>
      </c>
      <c r="P144" s="4">
        <f>XLOOKUP($A144,Directory_Output!$A$2:$A$201,Directory_Output!$J$2:$J$201,"NOT FOUND")</f>
        <v/>
      </c>
      <c r="Q144" s="4">
        <f>IF(O144=P144,"Match","MISMATCH")</f>
        <v/>
      </c>
      <c r="R144" s="4">
        <f>COUNTIF(E144:Q144,"MISMATCH")</f>
        <v/>
      </c>
      <c r="S144" s="4">
        <f>IF(R144=0,"Clean","Needs Review")</f>
        <v/>
      </c>
    </row>
    <row r="145">
      <c r="A145" s="4">
        <f>Provider_Source!A145</f>
        <v/>
      </c>
      <c r="B145" s="4">
        <f>Provider_Source!B145</f>
        <v/>
      </c>
      <c r="C145" s="4">
        <f>Provider_Source!H145</f>
        <v/>
      </c>
      <c r="D145" s="4">
        <f>XLOOKUP($A145,Directory_Output!$A$2:$A$201,Directory_Output!$H$2:$H$201,"NOT FOUND")</f>
        <v/>
      </c>
      <c r="E145" s="4">
        <f>IF(C145=D145,"Match","MISMATCH")</f>
        <v/>
      </c>
      <c r="F145" s="4">
        <f>Provider_Source!D145</f>
        <v/>
      </c>
      <c r="G145" s="4">
        <f>XLOOKUP($A145,Directory_Output!$A$2:$A$201,Directory_Output!$D$2:$D$201,"NOT FOUND")</f>
        <v/>
      </c>
      <c r="H145" s="4">
        <f>IF(F145=G145,"Match","MISMATCH")</f>
        <v/>
      </c>
      <c r="I145" s="4">
        <f>Provider_Source!C145</f>
        <v/>
      </c>
      <c r="J145" s="4">
        <f>XLOOKUP($A145,Directory_Output!$A$2:$A$201,Directory_Output!$C$2:$C$201,"NOT FOUND")</f>
        <v/>
      </c>
      <c r="K145" s="4">
        <f>IF(I145=J145,"Match","MISMATCH")</f>
        <v/>
      </c>
      <c r="L145" s="4">
        <f>Provider_Source!I145</f>
        <v/>
      </c>
      <c r="M145" s="4">
        <f>XLOOKUP($A145,Directory_Output!$A$2:$A$201,Directory_Output!$I$2:$I$201,"NOT FOUND")</f>
        <v/>
      </c>
      <c r="N145" s="4">
        <f>IF(L145=M145,"Match","MISMATCH")</f>
        <v/>
      </c>
      <c r="O145" s="4">
        <f>Provider_Source!J145</f>
        <v/>
      </c>
      <c r="P145" s="4">
        <f>XLOOKUP($A145,Directory_Output!$A$2:$A$201,Directory_Output!$J$2:$J$201,"NOT FOUND")</f>
        <v/>
      </c>
      <c r="Q145" s="4">
        <f>IF(O145=P145,"Match","MISMATCH")</f>
        <v/>
      </c>
      <c r="R145" s="4">
        <f>COUNTIF(E145:Q145,"MISMATCH")</f>
        <v/>
      </c>
      <c r="S145" s="4">
        <f>IF(R145=0,"Clean","Needs Review")</f>
        <v/>
      </c>
    </row>
    <row r="146">
      <c r="A146" s="4">
        <f>Provider_Source!A146</f>
        <v/>
      </c>
      <c r="B146" s="4">
        <f>Provider_Source!B146</f>
        <v/>
      </c>
      <c r="C146" s="4">
        <f>Provider_Source!H146</f>
        <v/>
      </c>
      <c r="D146" s="4">
        <f>XLOOKUP($A146,Directory_Output!$A$2:$A$201,Directory_Output!$H$2:$H$201,"NOT FOUND")</f>
        <v/>
      </c>
      <c r="E146" s="4">
        <f>IF(C146=D146,"Match","MISMATCH")</f>
        <v/>
      </c>
      <c r="F146" s="4">
        <f>Provider_Source!D146</f>
        <v/>
      </c>
      <c r="G146" s="4">
        <f>XLOOKUP($A146,Directory_Output!$A$2:$A$201,Directory_Output!$D$2:$D$201,"NOT FOUND")</f>
        <v/>
      </c>
      <c r="H146" s="4">
        <f>IF(F146=G146,"Match","MISMATCH")</f>
        <v/>
      </c>
      <c r="I146" s="4">
        <f>Provider_Source!C146</f>
        <v/>
      </c>
      <c r="J146" s="4">
        <f>XLOOKUP($A146,Directory_Output!$A$2:$A$201,Directory_Output!$C$2:$C$201,"NOT FOUND")</f>
        <v/>
      </c>
      <c r="K146" s="4">
        <f>IF(I146=J146,"Match","MISMATCH")</f>
        <v/>
      </c>
      <c r="L146" s="4">
        <f>Provider_Source!I146</f>
        <v/>
      </c>
      <c r="M146" s="4">
        <f>XLOOKUP($A146,Directory_Output!$A$2:$A$201,Directory_Output!$I$2:$I$201,"NOT FOUND")</f>
        <v/>
      </c>
      <c r="N146" s="4">
        <f>IF(L146=M146,"Match","MISMATCH")</f>
        <v/>
      </c>
      <c r="O146" s="4">
        <f>Provider_Source!J146</f>
        <v/>
      </c>
      <c r="P146" s="4">
        <f>XLOOKUP($A146,Directory_Output!$A$2:$A$201,Directory_Output!$J$2:$J$201,"NOT FOUND")</f>
        <v/>
      </c>
      <c r="Q146" s="4">
        <f>IF(O146=P146,"Match","MISMATCH")</f>
        <v/>
      </c>
      <c r="R146" s="4">
        <f>COUNTIF(E146:Q146,"MISMATCH")</f>
        <v/>
      </c>
      <c r="S146" s="4">
        <f>IF(R146=0,"Clean","Needs Review")</f>
        <v/>
      </c>
    </row>
    <row r="147">
      <c r="A147" s="4">
        <f>Provider_Source!A147</f>
        <v/>
      </c>
      <c r="B147" s="4">
        <f>Provider_Source!B147</f>
        <v/>
      </c>
      <c r="C147" s="4">
        <f>Provider_Source!H147</f>
        <v/>
      </c>
      <c r="D147" s="4">
        <f>XLOOKUP($A147,Directory_Output!$A$2:$A$201,Directory_Output!$H$2:$H$201,"NOT FOUND")</f>
        <v/>
      </c>
      <c r="E147" s="4">
        <f>IF(C147=D147,"Match","MISMATCH")</f>
        <v/>
      </c>
      <c r="F147" s="4">
        <f>Provider_Source!D147</f>
        <v/>
      </c>
      <c r="G147" s="4">
        <f>XLOOKUP($A147,Directory_Output!$A$2:$A$201,Directory_Output!$D$2:$D$201,"NOT FOUND")</f>
        <v/>
      </c>
      <c r="H147" s="4">
        <f>IF(F147=G147,"Match","MISMATCH")</f>
        <v/>
      </c>
      <c r="I147" s="4">
        <f>Provider_Source!C147</f>
        <v/>
      </c>
      <c r="J147" s="4">
        <f>XLOOKUP($A147,Directory_Output!$A$2:$A$201,Directory_Output!$C$2:$C$201,"NOT FOUND")</f>
        <v/>
      </c>
      <c r="K147" s="4">
        <f>IF(I147=J147,"Match","MISMATCH")</f>
        <v/>
      </c>
      <c r="L147" s="4">
        <f>Provider_Source!I147</f>
        <v/>
      </c>
      <c r="M147" s="4">
        <f>XLOOKUP($A147,Directory_Output!$A$2:$A$201,Directory_Output!$I$2:$I$201,"NOT FOUND")</f>
        <v/>
      </c>
      <c r="N147" s="4">
        <f>IF(L147=M147,"Match","MISMATCH")</f>
        <v/>
      </c>
      <c r="O147" s="4">
        <f>Provider_Source!J147</f>
        <v/>
      </c>
      <c r="P147" s="4">
        <f>XLOOKUP($A147,Directory_Output!$A$2:$A$201,Directory_Output!$J$2:$J$201,"NOT FOUND")</f>
        <v/>
      </c>
      <c r="Q147" s="4">
        <f>IF(O147=P147,"Match","MISMATCH")</f>
        <v/>
      </c>
      <c r="R147" s="4">
        <f>COUNTIF(E147:Q147,"MISMATCH")</f>
        <v/>
      </c>
      <c r="S147" s="4">
        <f>IF(R147=0,"Clean","Needs Review")</f>
        <v/>
      </c>
    </row>
    <row r="148">
      <c r="A148" s="4">
        <f>Provider_Source!A148</f>
        <v/>
      </c>
      <c r="B148" s="4">
        <f>Provider_Source!B148</f>
        <v/>
      </c>
      <c r="C148" s="4">
        <f>Provider_Source!H148</f>
        <v/>
      </c>
      <c r="D148" s="4">
        <f>XLOOKUP($A148,Directory_Output!$A$2:$A$201,Directory_Output!$H$2:$H$201,"NOT FOUND")</f>
        <v/>
      </c>
      <c r="E148" s="4">
        <f>IF(C148=D148,"Match","MISMATCH")</f>
        <v/>
      </c>
      <c r="F148" s="4">
        <f>Provider_Source!D148</f>
        <v/>
      </c>
      <c r="G148" s="4">
        <f>XLOOKUP($A148,Directory_Output!$A$2:$A$201,Directory_Output!$D$2:$D$201,"NOT FOUND")</f>
        <v/>
      </c>
      <c r="H148" s="4">
        <f>IF(F148=G148,"Match","MISMATCH")</f>
        <v/>
      </c>
      <c r="I148" s="4">
        <f>Provider_Source!C148</f>
        <v/>
      </c>
      <c r="J148" s="4">
        <f>XLOOKUP($A148,Directory_Output!$A$2:$A$201,Directory_Output!$C$2:$C$201,"NOT FOUND")</f>
        <v/>
      </c>
      <c r="K148" s="4">
        <f>IF(I148=J148,"Match","MISMATCH")</f>
        <v/>
      </c>
      <c r="L148" s="4">
        <f>Provider_Source!I148</f>
        <v/>
      </c>
      <c r="M148" s="4">
        <f>XLOOKUP($A148,Directory_Output!$A$2:$A$201,Directory_Output!$I$2:$I$201,"NOT FOUND")</f>
        <v/>
      </c>
      <c r="N148" s="4">
        <f>IF(L148=M148,"Match","MISMATCH")</f>
        <v/>
      </c>
      <c r="O148" s="4">
        <f>Provider_Source!J148</f>
        <v/>
      </c>
      <c r="P148" s="4">
        <f>XLOOKUP($A148,Directory_Output!$A$2:$A$201,Directory_Output!$J$2:$J$201,"NOT FOUND")</f>
        <v/>
      </c>
      <c r="Q148" s="4">
        <f>IF(O148=P148,"Match","MISMATCH")</f>
        <v/>
      </c>
      <c r="R148" s="4">
        <f>COUNTIF(E148:Q148,"MISMATCH")</f>
        <v/>
      </c>
      <c r="S148" s="4">
        <f>IF(R148=0,"Clean","Needs Review")</f>
        <v/>
      </c>
    </row>
    <row r="149">
      <c r="A149" s="4">
        <f>Provider_Source!A149</f>
        <v/>
      </c>
      <c r="B149" s="4">
        <f>Provider_Source!B149</f>
        <v/>
      </c>
      <c r="C149" s="4">
        <f>Provider_Source!H149</f>
        <v/>
      </c>
      <c r="D149" s="4">
        <f>XLOOKUP($A149,Directory_Output!$A$2:$A$201,Directory_Output!$H$2:$H$201,"NOT FOUND")</f>
        <v/>
      </c>
      <c r="E149" s="4">
        <f>IF(C149=D149,"Match","MISMATCH")</f>
        <v/>
      </c>
      <c r="F149" s="4">
        <f>Provider_Source!D149</f>
        <v/>
      </c>
      <c r="G149" s="4">
        <f>XLOOKUP($A149,Directory_Output!$A$2:$A$201,Directory_Output!$D$2:$D$201,"NOT FOUND")</f>
        <v/>
      </c>
      <c r="H149" s="4">
        <f>IF(F149=G149,"Match","MISMATCH")</f>
        <v/>
      </c>
      <c r="I149" s="4">
        <f>Provider_Source!C149</f>
        <v/>
      </c>
      <c r="J149" s="4">
        <f>XLOOKUP($A149,Directory_Output!$A$2:$A$201,Directory_Output!$C$2:$C$201,"NOT FOUND")</f>
        <v/>
      </c>
      <c r="K149" s="4">
        <f>IF(I149=J149,"Match","MISMATCH")</f>
        <v/>
      </c>
      <c r="L149" s="4">
        <f>Provider_Source!I149</f>
        <v/>
      </c>
      <c r="M149" s="4">
        <f>XLOOKUP($A149,Directory_Output!$A$2:$A$201,Directory_Output!$I$2:$I$201,"NOT FOUND")</f>
        <v/>
      </c>
      <c r="N149" s="4">
        <f>IF(L149=M149,"Match","MISMATCH")</f>
        <v/>
      </c>
      <c r="O149" s="4">
        <f>Provider_Source!J149</f>
        <v/>
      </c>
      <c r="P149" s="4">
        <f>XLOOKUP($A149,Directory_Output!$A$2:$A$201,Directory_Output!$J$2:$J$201,"NOT FOUND")</f>
        <v/>
      </c>
      <c r="Q149" s="4">
        <f>IF(O149=P149,"Match","MISMATCH")</f>
        <v/>
      </c>
      <c r="R149" s="4">
        <f>COUNTIF(E149:Q149,"MISMATCH")</f>
        <v/>
      </c>
      <c r="S149" s="4">
        <f>IF(R149=0,"Clean","Needs Review")</f>
        <v/>
      </c>
    </row>
    <row r="150">
      <c r="A150" s="4">
        <f>Provider_Source!A150</f>
        <v/>
      </c>
      <c r="B150" s="4">
        <f>Provider_Source!B150</f>
        <v/>
      </c>
      <c r="C150" s="4">
        <f>Provider_Source!H150</f>
        <v/>
      </c>
      <c r="D150" s="4">
        <f>XLOOKUP($A150,Directory_Output!$A$2:$A$201,Directory_Output!$H$2:$H$201,"NOT FOUND")</f>
        <v/>
      </c>
      <c r="E150" s="4">
        <f>IF(C150=D150,"Match","MISMATCH")</f>
        <v/>
      </c>
      <c r="F150" s="4">
        <f>Provider_Source!D150</f>
        <v/>
      </c>
      <c r="G150" s="4">
        <f>XLOOKUP($A150,Directory_Output!$A$2:$A$201,Directory_Output!$D$2:$D$201,"NOT FOUND")</f>
        <v/>
      </c>
      <c r="H150" s="4">
        <f>IF(F150=G150,"Match","MISMATCH")</f>
        <v/>
      </c>
      <c r="I150" s="4">
        <f>Provider_Source!C150</f>
        <v/>
      </c>
      <c r="J150" s="4">
        <f>XLOOKUP($A150,Directory_Output!$A$2:$A$201,Directory_Output!$C$2:$C$201,"NOT FOUND")</f>
        <v/>
      </c>
      <c r="K150" s="4">
        <f>IF(I150=J150,"Match","MISMATCH")</f>
        <v/>
      </c>
      <c r="L150" s="4">
        <f>Provider_Source!I150</f>
        <v/>
      </c>
      <c r="M150" s="4">
        <f>XLOOKUP($A150,Directory_Output!$A$2:$A$201,Directory_Output!$I$2:$I$201,"NOT FOUND")</f>
        <v/>
      </c>
      <c r="N150" s="4">
        <f>IF(L150=M150,"Match","MISMATCH")</f>
        <v/>
      </c>
      <c r="O150" s="4">
        <f>Provider_Source!J150</f>
        <v/>
      </c>
      <c r="P150" s="4">
        <f>XLOOKUP($A150,Directory_Output!$A$2:$A$201,Directory_Output!$J$2:$J$201,"NOT FOUND")</f>
        <v/>
      </c>
      <c r="Q150" s="4">
        <f>IF(O150=P150,"Match","MISMATCH")</f>
        <v/>
      </c>
      <c r="R150" s="4">
        <f>COUNTIF(E150:Q150,"MISMATCH")</f>
        <v/>
      </c>
      <c r="S150" s="4">
        <f>IF(R150=0,"Clean","Needs Review")</f>
        <v/>
      </c>
    </row>
    <row r="151">
      <c r="A151" s="4">
        <f>Provider_Source!A151</f>
        <v/>
      </c>
      <c r="B151" s="4">
        <f>Provider_Source!B151</f>
        <v/>
      </c>
      <c r="C151" s="4">
        <f>Provider_Source!H151</f>
        <v/>
      </c>
      <c r="D151" s="4">
        <f>XLOOKUP($A151,Directory_Output!$A$2:$A$201,Directory_Output!$H$2:$H$201,"NOT FOUND")</f>
        <v/>
      </c>
      <c r="E151" s="4">
        <f>IF(C151=D151,"Match","MISMATCH")</f>
        <v/>
      </c>
      <c r="F151" s="4">
        <f>Provider_Source!D151</f>
        <v/>
      </c>
      <c r="G151" s="4">
        <f>XLOOKUP($A151,Directory_Output!$A$2:$A$201,Directory_Output!$D$2:$D$201,"NOT FOUND")</f>
        <v/>
      </c>
      <c r="H151" s="4">
        <f>IF(F151=G151,"Match","MISMATCH")</f>
        <v/>
      </c>
      <c r="I151" s="4">
        <f>Provider_Source!C151</f>
        <v/>
      </c>
      <c r="J151" s="4">
        <f>XLOOKUP($A151,Directory_Output!$A$2:$A$201,Directory_Output!$C$2:$C$201,"NOT FOUND")</f>
        <v/>
      </c>
      <c r="K151" s="4">
        <f>IF(I151=J151,"Match","MISMATCH")</f>
        <v/>
      </c>
      <c r="L151" s="4">
        <f>Provider_Source!I151</f>
        <v/>
      </c>
      <c r="M151" s="4">
        <f>XLOOKUP($A151,Directory_Output!$A$2:$A$201,Directory_Output!$I$2:$I$201,"NOT FOUND")</f>
        <v/>
      </c>
      <c r="N151" s="4">
        <f>IF(L151=M151,"Match","MISMATCH")</f>
        <v/>
      </c>
      <c r="O151" s="4">
        <f>Provider_Source!J151</f>
        <v/>
      </c>
      <c r="P151" s="4">
        <f>XLOOKUP($A151,Directory_Output!$A$2:$A$201,Directory_Output!$J$2:$J$201,"NOT FOUND")</f>
        <v/>
      </c>
      <c r="Q151" s="4">
        <f>IF(O151=P151,"Match","MISMATCH")</f>
        <v/>
      </c>
      <c r="R151" s="4">
        <f>COUNTIF(E151:Q151,"MISMATCH")</f>
        <v/>
      </c>
      <c r="S151" s="4">
        <f>IF(R151=0,"Clean","Needs Review")</f>
        <v/>
      </c>
    </row>
    <row r="152">
      <c r="A152" s="4">
        <f>Provider_Source!A152</f>
        <v/>
      </c>
      <c r="B152" s="4">
        <f>Provider_Source!B152</f>
        <v/>
      </c>
      <c r="C152" s="4">
        <f>Provider_Source!H152</f>
        <v/>
      </c>
      <c r="D152" s="4">
        <f>XLOOKUP($A152,Directory_Output!$A$2:$A$201,Directory_Output!$H$2:$H$201,"NOT FOUND")</f>
        <v/>
      </c>
      <c r="E152" s="4">
        <f>IF(C152=D152,"Match","MISMATCH")</f>
        <v/>
      </c>
      <c r="F152" s="4">
        <f>Provider_Source!D152</f>
        <v/>
      </c>
      <c r="G152" s="4">
        <f>XLOOKUP($A152,Directory_Output!$A$2:$A$201,Directory_Output!$D$2:$D$201,"NOT FOUND")</f>
        <v/>
      </c>
      <c r="H152" s="4">
        <f>IF(F152=G152,"Match","MISMATCH")</f>
        <v/>
      </c>
      <c r="I152" s="4">
        <f>Provider_Source!C152</f>
        <v/>
      </c>
      <c r="J152" s="4">
        <f>XLOOKUP($A152,Directory_Output!$A$2:$A$201,Directory_Output!$C$2:$C$201,"NOT FOUND")</f>
        <v/>
      </c>
      <c r="K152" s="4">
        <f>IF(I152=J152,"Match","MISMATCH")</f>
        <v/>
      </c>
      <c r="L152" s="4">
        <f>Provider_Source!I152</f>
        <v/>
      </c>
      <c r="M152" s="4">
        <f>XLOOKUP($A152,Directory_Output!$A$2:$A$201,Directory_Output!$I$2:$I$201,"NOT FOUND")</f>
        <v/>
      </c>
      <c r="N152" s="4">
        <f>IF(L152=M152,"Match","MISMATCH")</f>
        <v/>
      </c>
      <c r="O152" s="4">
        <f>Provider_Source!J152</f>
        <v/>
      </c>
      <c r="P152" s="4">
        <f>XLOOKUP($A152,Directory_Output!$A$2:$A$201,Directory_Output!$J$2:$J$201,"NOT FOUND")</f>
        <v/>
      </c>
      <c r="Q152" s="4">
        <f>IF(O152=P152,"Match","MISMATCH")</f>
        <v/>
      </c>
      <c r="R152" s="4">
        <f>COUNTIF(E152:Q152,"MISMATCH")</f>
        <v/>
      </c>
      <c r="S152" s="4">
        <f>IF(R152=0,"Clean","Needs Review")</f>
        <v/>
      </c>
    </row>
    <row r="153">
      <c r="A153" s="4">
        <f>Provider_Source!A153</f>
        <v/>
      </c>
      <c r="B153" s="4">
        <f>Provider_Source!B153</f>
        <v/>
      </c>
      <c r="C153" s="4">
        <f>Provider_Source!H153</f>
        <v/>
      </c>
      <c r="D153" s="4">
        <f>XLOOKUP($A153,Directory_Output!$A$2:$A$201,Directory_Output!$H$2:$H$201,"NOT FOUND")</f>
        <v/>
      </c>
      <c r="E153" s="4">
        <f>IF(C153=D153,"Match","MISMATCH")</f>
        <v/>
      </c>
      <c r="F153" s="4">
        <f>Provider_Source!D153</f>
        <v/>
      </c>
      <c r="G153" s="4">
        <f>XLOOKUP($A153,Directory_Output!$A$2:$A$201,Directory_Output!$D$2:$D$201,"NOT FOUND")</f>
        <v/>
      </c>
      <c r="H153" s="4">
        <f>IF(F153=G153,"Match","MISMATCH")</f>
        <v/>
      </c>
      <c r="I153" s="4">
        <f>Provider_Source!C153</f>
        <v/>
      </c>
      <c r="J153" s="4">
        <f>XLOOKUP($A153,Directory_Output!$A$2:$A$201,Directory_Output!$C$2:$C$201,"NOT FOUND")</f>
        <v/>
      </c>
      <c r="K153" s="4">
        <f>IF(I153=J153,"Match","MISMATCH")</f>
        <v/>
      </c>
      <c r="L153" s="4">
        <f>Provider_Source!I153</f>
        <v/>
      </c>
      <c r="M153" s="4">
        <f>XLOOKUP($A153,Directory_Output!$A$2:$A$201,Directory_Output!$I$2:$I$201,"NOT FOUND")</f>
        <v/>
      </c>
      <c r="N153" s="4">
        <f>IF(L153=M153,"Match","MISMATCH")</f>
        <v/>
      </c>
      <c r="O153" s="4">
        <f>Provider_Source!J153</f>
        <v/>
      </c>
      <c r="P153" s="4">
        <f>XLOOKUP($A153,Directory_Output!$A$2:$A$201,Directory_Output!$J$2:$J$201,"NOT FOUND")</f>
        <v/>
      </c>
      <c r="Q153" s="4">
        <f>IF(O153=P153,"Match","MISMATCH")</f>
        <v/>
      </c>
      <c r="R153" s="4">
        <f>COUNTIF(E153:Q153,"MISMATCH")</f>
        <v/>
      </c>
      <c r="S153" s="4">
        <f>IF(R153=0,"Clean","Needs Review")</f>
        <v/>
      </c>
    </row>
    <row r="154">
      <c r="A154" s="4">
        <f>Provider_Source!A154</f>
        <v/>
      </c>
      <c r="B154" s="4">
        <f>Provider_Source!B154</f>
        <v/>
      </c>
      <c r="C154" s="4">
        <f>Provider_Source!H154</f>
        <v/>
      </c>
      <c r="D154" s="4">
        <f>XLOOKUP($A154,Directory_Output!$A$2:$A$201,Directory_Output!$H$2:$H$201,"NOT FOUND")</f>
        <v/>
      </c>
      <c r="E154" s="4">
        <f>IF(C154=D154,"Match","MISMATCH")</f>
        <v/>
      </c>
      <c r="F154" s="4">
        <f>Provider_Source!D154</f>
        <v/>
      </c>
      <c r="G154" s="4">
        <f>XLOOKUP($A154,Directory_Output!$A$2:$A$201,Directory_Output!$D$2:$D$201,"NOT FOUND")</f>
        <v/>
      </c>
      <c r="H154" s="4">
        <f>IF(F154=G154,"Match","MISMATCH")</f>
        <v/>
      </c>
      <c r="I154" s="4">
        <f>Provider_Source!C154</f>
        <v/>
      </c>
      <c r="J154" s="4">
        <f>XLOOKUP($A154,Directory_Output!$A$2:$A$201,Directory_Output!$C$2:$C$201,"NOT FOUND")</f>
        <v/>
      </c>
      <c r="K154" s="4">
        <f>IF(I154=J154,"Match","MISMATCH")</f>
        <v/>
      </c>
      <c r="L154" s="4">
        <f>Provider_Source!I154</f>
        <v/>
      </c>
      <c r="M154" s="4">
        <f>XLOOKUP($A154,Directory_Output!$A$2:$A$201,Directory_Output!$I$2:$I$201,"NOT FOUND")</f>
        <v/>
      </c>
      <c r="N154" s="4">
        <f>IF(L154=M154,"Match","MISMATCH")</f>
        <v/>
      </c>
      <c r="O154" s="4">
        <f>Provider_Source!J154</f>
        <v/>
      </c>
      <c r="P154" s="4">
        <f>XLOOKUP($A154,Directory_Output!$A$2:$A$201,Directory_Output!$J$2:$J$201,"NOT FOUND")</f>
        <v/>
      </c>
      <c r="Q154" s="4">
        <f>IF(O154=P154,"Match","MISMATCH")</f>
        <v/>
      </c>
      <c r="R154" s="4">
        <f>COUNTIF(E154:Q154,"MISMATCH")</f>
        <v/>
      </c>
      <c r="S154" s="4">
        <f>IF(R154=0,"Clean","Needs Review")</f>
        <v/>
      </c>
    </row>
    <row r="155">
      <c r="A155" s="4">
        <f>Provider_Source!A155</f>
        <v/>
      </c>
      <c r="B155" s="4">
        <f>Provider_Source!B155</f>
        <v/>
      </c>
      <c r="C155" s="4">
        <f>Provider_Source!H155</f>
        <v/>
      </c>
      <c r="D155" s="4">
        <f>XLOOKUP($A155,Directory_Output!$A$2:$A$201,Directory_Output!$H$2:$H$201,"NOT FOUND")</f>
        <v/>
      </c>
      <c r="E155" s="4">
        <f>IF(C155=D155,"Match","MISMATCH")</f>
        <v/>
      </c>
      <c r="F155" s="4">
        <f>Provider_Source!D155</f>
        <v/>
      </c>
      <c r="G155" s="4">
        <f>XLOOKUP($A155,Directory_Output!$A$2:$A$201,Directory_Output!$D$2:$D$201,"NOT FOUND")</f>
        <v/>
      </c>
      <c r="H155" s="4">
        <f>IF(F155=G155,"Match","MISMATCH")</f>
        <v/>
      </c>
      <c r="I155" s="4">
        <f>Provider_Source!C155</f>
        <v/>
      </c>
      <c r="J155" s="4">
        <f>XLOOKUP($A155,Directory_Output!$A$2:$A$201,Directory_Output!$C$2:$C$201,"NOT FOUND")</f>
        <v/>
      </c>
      <c r="K155" s="4">
        <f>IF(I155=J155,"Match","MISMATCH")</f>
        <v/>
      </c>
      <c r="L155" s="4">
        <f>Provider_Source!I155</f>
        <v/>
      </c>
      <c r="M155" s="4">
        <f>XLOOKUP($A155,Directory_Output!$A$2:$A$201,Directory_Output!$I$2:$I$201,"NOT FOUND")</f>
        <v/>
      </c>
      <c r="N155" s="4">
        <f>IF(L155=M155,"Match","MISMATCH")</f>
        <v/>
      </c>
      <c r="O155" s="4">
        <f>Provider_Source!J155</f>
        <v/>
      </c>
      <c r="P155" s="4">
        <f>XLOOKUP($A155,Directory_Output!$A$2:$A$201,Directory_Output!$J$2:$J$201,"NOT FOUND")</f>
        <v/>
      </c>
      <c r="Q155" s="4">
        <f>IF(O155=P155,"Match","MISMATCH")</f>
        <v/>
      </c>
      <c r="R155" s="4">
        <f>COUNTIF(E155:Q155,"MISMATCH")</f>
        <v/>
      </c>
      <c r="S155" s="4">
        <f>IF(R155=0,"Clean","Needs Review")</f>
        <v/>
      </c>
    </row>
    <row r="156">
      <c r="A156" s="4">
        <f>Provider_Source!A156</f>
        <v/>
      </c>
      <c r="B156" s="4">
        <f>Provider_Source!B156</f>
        <v/>
      </c>
      <c r="C156" s="4">
        <f>Provider_Source!H156</f>
        <v/>
      </c>
      <c r="D156" s="4">
        <f>XLOOKUP($A156,Directory_Output!$A$2:$A$201,Directory_Output!$H$2:$H$201,"NOT FOUND")</f>
        <v/>
      </c>
      <c r="E156" s="4">
        <f>IF(C156=D156,"Match","MISMATCH")</f>
        <v/>
      </c>
      <c r="F156" s="4">
        <f>Provider_Source!D156</f>
        <v/>
      </c>
      <c r="G156" s="4">
        <f>XLOOKUP($A156,Directory_Output!$A$2:$A$201,Directory_Output!$D$2:$D$201,"NOT FOUND")</f>
        <v/>
      </c>
      <c r="H156" s="4">
        <f>IF(F156=G156,"Match","MISMATCH")</f>
        <v/>
      </c>
      <c r="I156" s="4">
        <f>Provider_Source!C156</f>
        <v/>
      </c>
      <c r="J156" s="4">
        <f>XLOOKUP($A156,Directory_Output!$A$2:$A$201,Directory_Output!$C$2:$C$201,"NOT FOUND")</f>
        <v/>
      </c>
      <c r="K156" s="4">
        <f>IF(I156=J156,"Match","MISMATCH")</f>
        <v/>
      </c>
      <c r="L156" s="4">
        <f>Provider_Source!I156</f>
        <v/>
      </c>
      <c r="M156" s="4">
        <f>XLOOKUP($A156,Directory_Output!$A$2:$A$201,Directory_Output!$I$2:$I$201,"NOT FOUND")</f>
        <v/>
      </c>
      <c r="N156" s="4">
        <f>IF(L156=M156,"Match","MISMATCH")</f>
        <v/>
      </c>
      <c r="O156" s="4">
        <f>Provider_Source!J156</f>
        <v/>
      </c>
      <c r="P156" s="4">
        <f>XLOOKUP($A156,Directory_Output!$A$2:$A$201,Directory_Output!$J$2:$J$201,"NOT FOUND")</f>
        <v/>
      </c>
      <c r="Q156" s="4">
        <f>IF(O156=P156,"Match","MISMATCH")</f>
        <v/>
      </c>
      <c r="R156" s="4">
        <f>COUNTIF(E156:Q156,"MISMATCH")</f>
        <v/>
      </c>
      <c r="S156" s="4">
        <f>IF(R156=0,"Clean","Needs Review")</f>
        <v/>
      </c>
    </row>
    <row r="157">
      <c r="A157" s="4">
        <f>Provider_Source!A157</f>
        <v/>
      </c>
      <c r="B157" s="4">
        <f>Provider_Source!B157</f>
        <v/>
      </c>
      <c r="C157" s="4">
        <f>Provider_Source!H157</f>
        <v/>
      </c>
      <c r="D157" s="4">
        <f>XLOOKUP($A157,Directory_Output!$A$2:$A$201,Directory_Output!$H$2:$H$201,"NOT FOUND")</f>
        <v/>
      </c>
      <c r="E157" s="4">
        <f>IF(C157=D157,"Match","MISMATCH")</f>
        <v/>
      </c>
      <c r="F157" s="4">
        <f>Provider_Source!D157</f>
        <v/>
      </c>
      <c r="G157" s="4">
        <f>XLOOKUP($A157,Directory_Output!$A$2:$A$201,Directory_Output!$D$2:$D$201,"NOT FOUND")</f>
        <v/>
      </c>
      <c r="H157" s="4">
        <f>IF(F157=G157,"Match","MISMATCH")</f>
        <v/>
      </c>
      <c r="I157" s="4">
        <f>Provider_Source!C157</f>
        <v/>
      </c>
      <c r="J157" s="4">
        <f>XLOOKUP($A157,Directory_Output!$A$2:$A$201,Directory_Output!$C$2:$C$201,"NOT FOUND")</f>
        <v/>
      </c>
      <c r="K157" s="4">
        <f>IF(I157=J157,"Match","MISMATCH")</f>
        <v/>
      </c>
      <c r="L157" s="4">
        <f>Provider_Source!I157</f>
        <v/>
      </c>
      <c r="M157" s="4">
        <f>XLOOKUP($A157,Directory_Output!$A$2:$A$201,Directory_Output!$I$2:$I$201,"NOT FOUND")</f>
        <v/>
      </c>
      <c r="N157" s="4">
        <f>IF(L157=M157,"Match","MISMATCH")</f>
        <v/>
      </c>
      <c r="O157" s="4">
        <f>Provider_Source!J157</f>
        <v/>
      </c>
      <c r="P157" s="4">
        <f>XLOOKUP($A157,Directory_Output!$A$2:$A$201,Directory_Output!$J$2:$J$201,"NOT FOUND")</f>
        <v/>
      </c>
      <c r="Q157" s="4">
        <f>IF(O157=P157,"Match","MISMATCH")</f>
        <v/>
      </c>
      <c r="R157" s="4">
        <f>COUNTIF(E157:Q157,"MISMATCH")</f>
        <v/>
      </c>
      <c r="S157" s="4">
        <f>IF(R157=0,"Clean","Needs Review")</f>
        <v/>
      </c>
    </row>
    <row r="158">
      <c r="A158" s="4">
        <f>Provider_Source!A158</f>
        <v/>
      </c>
      <c r="B158" s="4">
        <f>Provider_Source!B158</f>
        <v/>
      </c>
      <c r="C158" s="4">
        <f>Provider_Source!H158</f>
        <v/>
      </c>
      <c r="D158" s="4">
        <f>XLOOKUP($A158,Directory_Output!$A$2:$A$201,Directory_Output!$H$2:$H$201,"NOT FOUND")</f>
        <v/>
      </c>
      <c r="E158" s="4">
        <f>IF(C158=D158,"Match","MISMATCH")</f>
        <v/>
      </c>
      <c r="F158" s="4">
        <f>Provider_Source!D158</f>
        <v/>
      </c>
      <c r="G158" s="4">
        <f>XLOOKUP($A158,Directory_Output!$A$2:$A$201,Directory_Output!$D$2:$D$201,"NOT FOUND")</f>
        <v/>
      </c>
      <c r="H158" s="4">
        <f>IF(F158=G158,"Match","MISMATCH")</f>
        <v/>
      </c>
      <c r="I158" s="4">
        <f>Provider_Source!C158</f>
        <v/>
      </c>
      <c r="J158" s="4">
        <f>XLOOKUP($A158,Directory_Output!$A$2:$A$201,Directory_Output!$C$2:$C$201,"NOT FOUND")</f>
        <v/>
      </c>
      <c r="K158" s="4">
        <f>IF(I158=J158,"Match","MISMATCH")</f>
        <v/>
      </c>
      <c r="L158" s="4">
        <f>Provider_Source!I158</f>
        <v/>
      </c>
      <c r="M158" s="4">
        <f>XLOOKUP($A158,Directory_Output!$A$2:$A$201,Directory_Output!$I$2:$I$201,"NOT FOUND")</f>
        <v/>
      </c>
      <c r="N158" s="4">
        <f>IF(L158=M158,"Match","MISMATCH")</f>
        <v/>
      </c>
      <c r="O158" s="4">
        <f>Provider_Source!J158</f>
        <v/>
      </c>
      <c r="P158" s="4">
        <f>XLOOKUP($A158,Directory_Output!$A$2:$A$201,Directory_Output!$J$2:$J$201,"NOT FOUND")</f>
        <v/>
      </c>
      <c r="Q158" s="4">
        <f>IF(O158=P158,"Match","MISMATCH")</f>
        <v/>
      </c>
      <c r="R158" s="4">
        <f>COUNTIF(E158:Q158,"MISMATCH")</f>
        <v/>
      </c>
      <c r="S158" s="4">
        <f>IF(R158=0,"Clean","Needs Review")</f>
        <v/>
      </c>
    </row>
    <row r="159">
      <c r="A159" s="4">
        <f>Provider_Source!A159</f>
        <v/>
      </c>
      <c r="B159" s="4">
        <f>Provider_Source!B159</f>
        <v/>
      </c>
      <c r="C159" s="4">
        <f>Provider_Source!H159</f>
        <v/>
      </c>
      <c r="D159" s="4">
        <f>XLOOKUP($A159,Directory_Output!$A$2:$A$201,Directory_Output!$H$2:$H$201,"NOT FOUND")</f>
        <v/>
      </c>
      <c r="E159" s="4">
        <f>IF(C159=D159,"Match","MISMATCH")</f>
        <v/>
      </c>
      <c r="F159" s="4">
        <f>Provider_Source!D159</f>
        <v/>
      </c>
      <c r="G159" s="4">
        <f>XLOOKUP($A159,Directory_Output!$A$2:$A$201,Directory_Output!$D$2:$D$201,"NOT FOUND")</f>
        <v/>
      </c>
      <c r="H159" s="4">
        <f>IF(F159=G159,"Match","MISMATCH")</f>
        <v/>
      </c>
      <c r="I159" s="4">
        <f>Provider_Source!C159</f>
        <v/>
      </c>
      <c r="J159" s="4">
        <f>XLOOKUP($A159,Directory_Output!$A$2:$A$201,Directory_Output!$C$2:$C$201,"NOT FOUND")</f>
        <v/>
      </c>
      <c r="K159" s="4">
        <f>IF(I159=J159,"Match","MISMATCH")</f>
        <v/>
      </c>
      <c r="L159" s="4">
        <f>Provider_Source!I159</f>
        <v/>
      </c>
      <c r="M159" s="4">
        <f>XLOOKUP($A159,Directory_Output!$A$2:$A$201,Directory_Output!$I$2:$I$201,"NOT FOUND")</f>
        <v/>
      </c>
      <c r="N159" s="4">
        <f>IF(L159=M159,"Match","MISMATCH")</f>
        <v/>
      </c>
      <c r="O159" s="4">
        <f>Provider_Source!J159</f>
        <v/>
      </c>
      <c r="P159" s="4">
        <f>XLOOKUP($A159,Directory_Output!$A$2:$A$201,Directory_Output!$J$2:$J$201,"NOT FOUND")</f>
        <v/>
      </c>
      <c r="Q159" s="4">
        <f>IF(O159=P159,"Match","MISMATCH")</f>
        <v/>
      </c>
      <c r="R159" s="4">
        <f>COUNTIF(E159:Q159,"MISMATCH")</f>
        <v/>
      </c>
      <c r="S159" s="4">
        <f>IF(R159=0,"Clean","Needs Review")</f>
        <v/>
      </c>
    </row>
    <row r="160">
      <c r="A160" s="4">
        <f>Provider_Source!A160</f>
        <v/>
      </c>
      <c r="B160" s="4">
        <f>Provider_Source!B160</f>
        <v/>
      </c>
      <c r="C160" s="4">
        <f>Provider_Source!H160</f>
        <v/>
      </c>
      <c r="D160" s="4">
        <f>XLOOKUP($A160,Directory_Output!$A$2:$A$201,Directory_Output!$H$2:$H$201,"NOT FOUND")</f>
        <v/>
      </c>
      <c r="E160" s="4">
        <f>IF(C160=D160,"Match","MISMATCH")</f>
        <v/>
      </c>
      <c r="F160" s="4">
        <f>Provider_Source!D160</f>
        <v/>
      </c>
      <c r="G160" s="4">
        <f>XLOOKUP($A160,Directory_Output!$A$2:$A$201,Directory_Output!$D$2:$D$201,"NOT FOUND")</f>
        <v/>
      </c>
      <c r="H160" s="4">
        <f>IF(F160=G160,"Match","MISMATCH")</f>
        <v/>
      </c>
      <c r="I160" s="4">
        <f>Provider_Source!C160</f>
        <v/>
      </c>
      <c r="J160" s="4">
        <f>XLOOKUP($A160,Directory_Output!$A$2:$A$201,Directory_Output!$C$2:$C$201,"NOT FOUND")</f>
        <v/>
      </c>
      <c r="K160" s="4">
        <f>IF(I160=J160,"Match","MISMATCH")</f>
        <v/>
      </c>
      <c r="L160" s="4">
        <f>Provider_Source!I160</f>
        <v/>
      </c>
      <c r="M160" s="4">
        <f>XLOOKUP($A160,Directory_Output!$A$2:$A$201,Directory_Output!$I$2:$I$201,"NOT FOUND")</f>
        <v/>
      </c>
      <c r="N160" s="4">
        <f>IF(L160=M160,"Match","MISMATCH")</f>
        <v/>
      </c>
      <c r="O160" s="4">
        <f>Provider_Source!J160</f>
        <v/>
      </c>
      <c r="P160" s="4">
        <f>XLOOKUP($A160,Directory_Output!$A$2:$A$201,Directory_Output!$J$2:$J$201,"NOT FOUND")</f>
        <v/>
      </c>
      <c r="Q160" s="4">
        <f>IF(O160=P160,"Match","MISMATCH")</f>
        <v/>
      </c>
      <c r="R160" s="4">
        <f>COUNTIF(E160:Q160,"MISMATCH")</f>
        <v/>
      </c>
      <c r="S160" s="4">
        <f>IF(R160=0,"Clean","Needs Review")</f>
        <v/>
      </c>
    </row>
    <row r="161">
      <c r="A161" s="4">
        <f>Provider_Source!A161</f>
        <v/>
      </c>
      <c r="B161" s="4">
        <f>Provider_Source!B161</f>
        <v/>
      </c>
      <c r="C161" s="4">
        <f>Provider_Source!H161</f>
        <v/>
      </c>
      <c r="D161" s="4">
        <f>XLOOKUP($A161,Directory_Output!$A$2:$A$201,Directory_Output!$H$2:$H$201,"NOT FOUND")</f>
        <v/>
      </c>
      <c r="E161" s="4">
        <f>IF(C161=D161,"Match","MISMATCH")</f>
        <v/>
      </c>
      <c r="F161" s="4">
        <f>Provider_Source!D161</f>
        <v/>
      </c>
      <c r="G161" s="4">
        <f>XLOOKUP($A161,Directory_Output!$A$2:$A$201,Directory_Output!$D$2:$D$201,"NOT FOUND")</f>
        <v/>
      </c>
      <c r="H161" s="4">
        <f>IF(F161=G161,"Match","MISMATCH")</f>
        <v/>
      </c>
      <c r="I161" s="4">
        <f>Provider_Source!C161</f>
        <v/>
      </c>
      <c r="J161" s="4">
        <f>XLOOKUP($A161,Directory_Output!$A$2:$A$201,Directory_Output!$C$2:$C$201,"NOT FOUND")</f>
        <v/>
      </c>
      <c r="K161" s="4">
        <f>IF(I161=J161,"Match","MISMATCH")</f>
        <v/>
      </c>
      <c r="L161" s="4">
        <f>Provider_Source!I161</f>
        <v/>
      </c>
      <c r="M161" s="4">
        <f>XLOOKUP($A161,Directory_Output!$A$2:$A$201,Directory_Output!$I$2:$I$201,"NOT FOUND")</f>
        <v/>
      </c>
      <c r="N161" s="4">
        <f>IF(L161=M161,"Match","MISMATCH")</f>
        <v/>
      </c>
      <c r="O161" s="4">
        <f>Provider_Source!J161</f>
        <v/>
      </c>
      <c r="P161" s="4">
        <f>XLOOKUP($A161,Directory_Output!$A$2:$A$201,Directory_Output!$J$2:$J$201,"NOT FOUND")</f>
        <v/>
      </c>
      <c r="Q161" s="4">
        <f>IF(O161=P161,"Match","MISMATCH")</f>
        <v/>
      </c>
      <c r="R161" s="4">
        <f>COUNTIF(E161:Q161,"MISMATCH")</f>
        <v/>
      </c>
      <c r="S161" s="4">
        <f>IF(R161=0,"Clean","Needs Review")</f>
        <v/>
      </c>
    </row>
    <row r="162">
      <c r="A162" s="4">
        <f>Provider_Source!A162</f>
        <v/>
      </c>
      <c r="B162" s="4">
        <f>Provider_Source!B162</f>
        <v/>
      </c>
      <c r="C162" s="4">
        <f>Provider_Source!H162</f>
        <v/>
      </c>
      <c r="D162" s="4">
        <f>XLOOKUP($A162,Directory_Output!$A$2:$A$201,Directory_Output!$H$2:$H$201,"NOT FOUND")</f>
        <v/>
      </c>
      <c r="E162" s="4">
        <f>IF(C162=D162,"Match","MISMATCH")</f>
        <v/>
      </c>
      <c r="F162" s="4">
        <f>Provider_Source!D162</f>
        <v/>
      </c>
      <c r="G162" s="4">
        <f>XLOOKUP($A162,Directory_Output!$A$2:$A$201,Directory_Output!$D$2:$D$201,"NOT FOUND")</f>
        <v/>
      </c>
      <c r="H162" s="4">
        <f>IF(F162=G162,"Match","MISMATCH")</f>
        <v/>
      </c>
      <c r="I162" s="4">
        <f>Provider_Source!C162</f>
        <v/>
      </c>
      <c r="J162" s="4">
        <f>XLOOKUP($A162,Directory_Output!$A$2:$A$201,Directory_Output!$C$2:$C$201,"NOT FOUND")</f>
        <v/>
      </c>
      <c r="K162" s="4">
        <f>IF(I162=J162,"Match","MISMATCH")</f>
        <v/>
      </c>
      <c r="L162" s="4">
        <f>Provider_Source!I162</f>
        <v/>
      </c>
      <c r="M162" s="4">
        <f>XLOOKUP($A162,Directory_Output!$A$2:$A$201,Directory_Output!$I$2:$I$201,"NOT FOUND")</f>
        <v/>
      </c>
      <c r="N162" s="4">
        <f>IF(L162=M162,"Match","MISMATCH")</f>
        <v/>
      </c>
      <c r="O162" s="4">
        <f>Provider_Source!J162</f>
        <v/>
      </c>
      <c r="P162" s="4">
        <f>XLOOKUP($A162,Directory_Output!$A$2:$A$201,Directory_Output!$J$2:$J$201,"NOT FOUND")</f>
        <v/>
      </c>
      <c r="Q162" s="4">
        <f>IF(O162=P162,"Match","MISMATCH")</f>
        <v/>
      </c>
      <c r="R162" s="4">
        <f>COUNTIF(E162:Q162,"MISMATCH")</f>
        <v/>
      </c>
      <c r="S162" s="4">
        <f>IF(R162=0,"Clean","Needs Review")</f>
        <v/>
      </c>
    </row>
    <row r="163">
      <c r="A163" s="4">
        <f>Provider_Source!A163</f>
        <v/>
      </c>
      <c r="B163" s="4">
        <f>Provider_Source!B163</f>
        <v/>
      </c>
      <c r="C163" s="4">
        <f>Provider_Source!H163</f>
        <v/>
      </c>
      <c r="D163" s="4">
        <f>XLOOKUP($A163,Directory_Output!$A$2:$A$201,Directory_Output!$H$2:$H$201,"NOT FOUND")</f>
        <v/>
      </c>
      <c r="E163" s="4">
        <f>IF(C163=D163,"Match","MISMATCH")</f>
        <v/>
      </c>
      <c r="F163" s="4">
        <f>Provider_Source!D163</f>
        <v/>
      </c>
      <c r="G163" s="4">
        <f>XLOOKUP($A163,Directory_Output!$A$2:$A$201,Directory_Output!$D$2:$D$201,"NOT FOUND")</f>
        <v/>
      </c>
      <c r="H163" s="4">
        <f>IF(F163=G163,"Match","MISMATCH")</f>
        <v/>
      </c>
      <c r="I163" s="4">
        <f>Provider_Source!C163</f>
        <v/>
      </c>
      <c r="J163" s="4">
        <f>XLOOKUP($A163,Directory_Output!$A$2:$A$201,Directory_Output!$C$2:$C$201,"NOT FOUND")</f>
        <v/>
      </c>
      <c r="K163" s="4">
        <f>IF(I163=J163,"Match","MISMATCH")</f>
        <v/>
      </c>
      <c r="L163" s="4">
        <f>Provider_Source!I163</f>
        <v/>
      </c>
      <c r="M163" s="4">
        <f>XLOOKUP($A163,Directory_Output!$A$2:$A$201,Directory_Output!$I$2:$I$201,"NOT FOUND")</f>
        <v/>
      </c>
      <c r="N163" s="4">
        <f>IF(L163=M163,"Match","MISMATCH")</f>
        <v/>
      </c>
      <c r="O163" s="4">
        <f>Provider_Source!J163</f>
        <v/>
      </c>
      <c r="P163" s="4">
        <f>XLOOKUP($A163,Directory_Output!$A$2:$A$201,Directory_Output!$J$2:$J$201,"NOT FOUND")</f>
        <v/>
      </c>
      <c r="Q163" s="4">
        <f>IF(O163=P163,"Match","MISMATCH")</f>
        <v/>
      </c>
      <c r="R163" s="4">
        <f>COUNTIF(E163:Q163,"MISMATCH")</f>
        <v/>
      </c>
      <c r="S163" s="4">
        <f>IF(R163=0,"Clean","Needs Review")</f>
        <v/>
      </c>
    </row>
    <row r="164">
      <c r="A164" s="4">
        <f>Provider_Source!A164</f>
        <v/>
      </c>
      <c r="B164" s="4">
        <f>Provider_Source!B164</f>
        <v/>
      </c>
      <c r="C164" s="4">
        <f>Provider_Source!H164</f>
        <v/>
      </c>
      <c r="D164" s="4">
        <f>XLOOKUP($A164,Directory_Output!$A$2:$A$201,Directory_Output!$H$2:$H$201,"NOT FOUND")</f>
        <v/>
      </c>
      <c r="E164" s="4">
        <f>IF(C164=D164,"Match","MISMATCH")</f>
        <v/>
      </c>
      <c r="F164" s="4">
        <f>Provider_Source!D164</f>
        <v/>
      </c>
      <c r="G164" s="4">
        <f>XLOOKUP($A164,Directory_Output!$A$2:$A$201,Directory_Output!$D$2:$D$201,"NOT FOUND")</f>
        <v/>
      </c>
      <c r="H164" s="4">
        <f>IF(F164=G164,"Match","MISMATCH")</f>
        <v/>
      </c>
      <c r="I164" s="4">
        <f>Provider_Source!C164</f>
        <v/>
      </c>
      <c r="J164" s="4">
        <f>XLOOKUP($A164,Directory_Output!$A$2:$A$201,Directory_Output!$C$2:$C$201,"NOT FOUND")</f>
        <v/>
      </c>
      <c r="K164" s="4">
        <f>IF(I164=J164,"Match","MISMATCH")</f>
        <v/>
      </c>
      <c r="L164" s="4">
        <f>Provider_Source!I164</f>
        <v/>
      </c>
      <c r="M164" s="4">
        <f>XLOOKUP($A164,Directory_Output!$A$2:$A$201,Directory_Output!$I$2:$I$201,"NOT FOUND")</f>
        <v/>
      </c>
      <c r="N164" s="4">
        <f>IF(L164=M164,"Match","MISMATCH")</f>
        <v/>
      </c>
      <c r="O164" s="4">
        <f>Provider_Source!J164</f>
        <v/>
      </c>
      <c r="P164" s="4">
        <f>XLOOKUP($A164,Directory_Output!$A$2:$A$201,Directory_Output!$J$2:$J$201,"NOT FOUND")</f>
        <v/>
      </c>
      <c r="Q164" s="4">
        <f>IF(O164=P164,"Match","MISMATCH")</f>
        <v/>
      </c>
      <c r="R164" s="4">
        <f>COUNTIF(E164:Q164,"MISMATCH")</f>
        <v/>
      </c>
      <c r="S164" s="4">
        <f>IF(R164=0,"Clean","Needs Review")</f>
        <v/>
      </c>
    </row>
    <row r="165">
      <c r="A165" s="4">
        <f>Provider_Source!A165</f>
        <v/>
      </c>
      <c r="B165" s="4">
        <f>Provider_Source!B165</f>
        <v/>
      </c>
      <c r="C165" s="4">
        <f>Provider_Source!H165</f>
        <v/>
      </c>
      <c r="D165" s="4">
        <f>XLOOKUP($A165,Directory_Output!$A$2:$A$201,Directory_Output!$H$2:$H$201,"NOT FOUND")</f>
        <v/>
      </c>
      <c r="E165" s="4">
        <f>IF(C165=D165,"Match","MISMATCH")</f>
        <v/>
      </c>
      <c r="F165" s="4">
        <f>Provider_Source!D165</f>
        <v/>
      </c>
      <c r="G165" s="4">
        <f>XLOOKUP($A165,Directory_Output!$A$2:$A$201,Directory_Output!$D$2:$D$201,"NOT FOUND")</f>
        <v/>
      </c>
      <c r="H165" s="4">
        <f>IF(F165=G165,"Match","MISMATCH")</f>
        <v/>
      </c>
      <c r="I165" s="4">
        <f>Provider_Source!C165</f>
        <v/>
      </c>
      <c r="J165" s="4">
        <f>XLOOKUP($A165,Directory_Output!$A$2:$A$201,Directory_Output!$C$2:$C$201,"NOT FOUND")</f>
        <v/>
      </c>
      <c r="K165" s="4">
        <f>IF(I165=J165,"Match","MISMATCH")</f>
        <v/>
      </c>
      <c r="L165" s="4">
        <f>Provider_Source!I165</f>
        <v/>
      </c>
      <c r="M165" s="4">
        <f>XLOOKUP($A165,Directory_Output!$A$2:$A$201,Directory_Output!$I$2:$I$201,"NOT FOUND")</f>
        <v/>
      </c>
      <c r="N165" s="4">
        <f>IF(L165=M165,"Match","MISMATCH")</f>
        <v/>
      </c>
      <c r="O165" s="4">
        <f>Provider_Source!J165</f>
        <v/>
      </c>
      <c r="P165" s="4">
        <f>XLOOKUP($A165,Directory_Output!$A$2:$A$201,Directory_Output!$J$2:$J$201,"NOT FOUND")</f>
        <v/>
      </c>
      <c r="Q165" s="4">
        <f>IF(O165=P165,"Match","MISMATCH")</f>
        <v/>
      </c>
      <c r="R165" s="4">
        <f>COUNTIF(E165:Q165,"MISMATCH")</f>
        <v/>
      </c>
      <c r="S165" s="4">
        <f>IF(R165=0,"Clean","Needs Review")</f>
        <v/>
      </c>
    </row>
    <row r="166">
      <c r="A166" s="4">
        <f>Provider_Source!A166</f>
        <v/>
      </c>
      <c r="B166" s="4">
        <f>Provider_Source!B166</f>
        <v/>
      </c>
      <c r="C166" s="4">
        <f>Provider_Source!H166</f>
        <v/>
      </c>
      <c r="D166" s="4">
        <f>XLOOKUP($A166,Directory_Output!$A$2:$A$201,Directory_Output!$H$2:$H$201,"NOT FOUND")</f>
        <v/>
      </c>
      <c r="E166" s="4">
        <f>IF(C166=D166,"Match","MISMATCH")</f>
        <v/>
      </c>
      <c r="F166" s="4">
        <f>Provider_Source!D166</f>
        <v/>
      </c>
      <c r="G166" s="4">
        <f>XLOOKUP($A166,Directory_Output!$A$2:$A$201,Directory_Output!$D$2:$D$201,"NOT FOUND")</f>
        <v/>
      </c>
      <c r="H166" s="4">
        <f>IF(F166=G166,"Match","MISMATCH")</f>
        <v/>
      </c>
      <c r="I166" s="4">
        <f>Provider_Source!C166</f>
        <v/>
      </c>
      <c r="J166" s="4">
        <f>XLOOKUP($A166,Directory_Output!$A$2:$A$201,Directory_Output!$C$2:$C$201,"NOT FOUND")</f>
        <v/>
      </c>
      <c r="K166" s="4">
        <f>IF(I166=J166,"Match","MISMATCH")</f>
        <v/>
      </c>
      <c r="L166" s="4">
        <f>Provider_Source!I166</f>
        <v/>
      </c>
      <c r="M166" s="4">
        <f>XLOOKUP($A166,Directory_Output!$A$2:$A$201,Directory_Output!$I$2:$I$201,"NOT FOUND")</f>
        <v/>
      </c>
      <c r="N166" s="4">
        <f>IF(L166=M166,"Match","MISMATCH")</f>
        <v/>
      </c>
      <c r="O166" s="4">
        <f>Provider_Source!J166</f>
        <v/>
      </c>
      <c r="P166" s="4">
        <f>XLOOKUP($A166,Directory_Output!$A$2:$A$201,Directory_Output!$J$2:$J$201,"NOT FOUND")</f>
        <v/>
      </c>
      <c r="Q166" s="4">
        <f>IF(O166=P166,"Match","MISMATCH")</f>
        <v/>
      </c>
      <c r="R166" s="4">
        <f>COUNTIF(E166:Q166,"MISMATCH")</f>
        <v/>
      </c>
      <c r="S166" s="4">
        <f>IF(R166=0,"Clean","Needs Review")</f>
        <v/>
      </c>
    </row>
    <row r="167">
      <c r="A167" s="4">
        <f>Provider_Source!A167</f>
        <v/>
      </c>
      <c r="B167" s="4">
        <f>Provider_Source!B167</f>
        <v/>
      </c>
      <c r="C167" s="4">
        <f>Provider_Source!H167</f>
        <v/>
      </c>
      <c r="D167" s="4">
        <f>XLOOKUP($A167,Directory_Output!$A$2:$A$201,Directory_Output!$H$2:$H$201,"NOT FOUND")</f>
        <v/>
      </c>
      <c r="E167" s="4">
        <f>IF(C167=D167,"Match","MISMATCH")</f>
        <v/>
      </c>
      <c r="F167" s="4">
        <f>Provider_Source!D167</f>
        <v/>
      </c>
      <c r="G167" s="4">
        <f>XLOOKUP($A167,Directory_Output!$A$2:$A$201,Directory_Output!$D$2:$D$201,"NOT FOUND")</f>
        <v/>
      </c>
      <c r="H167" s="4">
        <f>IF(F167=G167,"Match","MISMATCH")</f>
        <v/>
      </c>
      <c r="I167" s="4">
        <f>Provider_Source!C167</f>
        <v/>
      </c>
      <c r="J167" s="4">
        <f>XLOOKUP($A167,Directory_Output!$A$2:$A$201,Directory_Output!$C$2:$C$201,"NOT FOUND")</f>
        <v/>
      </c>
      <c r="K167" s="4">
        <f>IF(I167=J167,"Match","MISMATCH")</f>
        <v/>
      </c>
      <c r="L167" s="4">
        <f>Provider_Source!I167</f>
        <v/>
      </c>
      <c r="M167" s="4">
        <f>XLOOKUP($A167,Directory_Output!$A$2:$A$201,Directory_Output!$I$2:$I$201,"NOT FOUND")</f>
        <v/>
      </c>
      <c r="N167" s="4">
        <f>IF(L167=M167,"Match","MISMATCH")</f>
        <v/>
      </c>
      <c r="O167" s="4">
        <f>Provider_Source!J167</f>
        <v/>
      </c>
      <c r="P167" s="4">
        <f>XLOOKUP($A167,Directory_Output!$A$2:$A$201,Directory_Output!$J$2:$J$201,"NOT FOUND")</f>
        <v/>
      </c>
      <c r="Q167" s="4">
        <f>IF(O167=P167,"Match","MISMATCH")</f>
        <v/>
      </c>
      <c r="R167" s="4">
        <f>COUNTIF(E167:Q167,"MISMATCH")</f>
        <v/>
      </c>
      <c r="S167" s="4">
        <f>IF(R167=0,"Clean","Needs Review")</f>
        <v/>
      </c>
    </row>
    <row r="168">
      <c r="A168" s="4">
        <f>Provider_Source!A168</f>
        <v/>
      </c>
      <c r="B168" s="4">
        <f>Provider_Source!B168</f>
        <v/>
      </c>
      <c r="C168" s="4">
        <f>Provider_Source!H168</f>
        <v/>
      </c>
      <c r="D168" s="4">
        <f>XLOOKUP($A168,Directory_Output!$A$2:$A$201,Directory_Output!$H$2:$H$201,"NOT FOUND")</f>
        <v/>
      </c>
      <c r="E168" s="4">
        <f>IF(C168=D168,"Match","MISMATCH")</f>
        <v/>
      </c>
      <c r="F168" s="4">
        <f>Provider_Source!D168</f>
        <v/>
      </c>
      <c r="G168" s="4">
        <f>XLOOKUP($A168,Directory_Output!$A$2:$A$201,Directory_Output!$D$2:$D$201,"NOT FOUND")</f>
        <v/>
      </c>
      <c r="H168" s="4">
        <f>IF(F168=G168,"Match","MISMATCH")</f>
        <v/>
      </c>
      <c r="I168" s="4">
        <f>Provider_Source!C168</f>
        <v/>
      </c>
      <c r="J168" s="4">
        <f>XLOOKUP($A168,Directory_Output!$A$2:$A$201,Directory_Output!$C$2:$C$201,"NOT FOUND")</f>
        <v/>
      </c>
      <c r="K168" s="4">
        <f>IF(I168=J168,"Match","MISMATCH")</f>
        <v/>
      </c>
      <c r="L168" s="4">
        <f>Provider_Source!I168</f>
        <v/>
      </c>
      <c r="M168" s="4">
        <f>XLOOKUP($A168,Directory_Output!$A$2:$A$201,Directory_Output!$I$2:$I$201,"NOT FOUND")</f>
        <v/>
      </c>
      <c r="N168" s="4">
        <f>IF(L168=M168,"Match","MISMATCH")</f>
        <v/>
      </c>
      <c r="O168" s="4">
        <f>Provider_Source!J168</f>
        <v/>
      </c>
      <c r="P168" s="4">
        <f>XLOOKUP($A168,Directory_Output!$A$2:$A$201,Directory_Output!$J$2:$J$201,"NOT FOUND")</f>
        <v/>
      </c>
      <c r="Q168" s="4">
        <f>IF(O168=P168,"Match","MISMATCH")</f>
        <v/>
      </c>
      <c r="R168" s="4">
        <f>COUNTIF(E168:Q168,"MISMATCH")</f>
        <v/>
      </c>
      <c r="S168" s="4">
        <f>IF(R168=0,"Clean","Needs Review")</f>
        <v/>
      </c>
    </row>
    <row r="169">
      <c r="A169" s="4">
        <f>Provider_Source!A169</f>
        <v/>
      </c>
      <c r="B169" s="4">
        <f>Provider_Source!B169</f>
        <v/>
      </c>
      <c r="C169" s="4">
        <f>Provider_Source!H169</f>
        <v/>
      </c>
      <c r="D169" s="4">
        <f>XLOOKUP($A169,Directory_Output!$A$2:$A$201,Directory_Output!$H$2:$H$201,"NOT FOUND")</f>
        <v/>
      </c>
      <c r="E169" s="4">
        <f>IF(C169=D169,"Match","MISMATCH")</f>
        <v/>
      </c>
      <c r="F169" s="4">
        <f>Provider_Source!D169</f>
        <v/>
      </c>
      <c r="G169" s="4">
        <f>XLOOKUP($A169,Directory_Output!$A$2:$A$201,Directory_Output!$D$2:$D$201,"NOT FOUND")</f>
        <v/>
      </c>
      <c r="H169" s="4">
        <f>IF(F169=G169,"Match","MISMATCH")</f>
        <v/>
      </c>
      <c r="I169" s="4">
        <f>Provider_Source!C169</f>
        <v/>
      </c>
      <c r="J169" s="4">
        <f>XLOOKUP($A169,Directory_Output!$A$2:$A$201,Directory_Output!$C$2:$C$201,"NOT FOUND")</f>
        <v/>
      </c>
      <c r="K169" s="4">
        <f>IF(I169=J169,"Match","MISMATCH")</f>
        <v/>
      </c>
      <c r="L169" s="4">
        <f>Provider_Source!I169</f>
        <v/>
      </c>
      <c r="M169" s="4">
        <f>XLOOKUP($A169,Directory_Output!$A$2:$A$201,Directory_Output!$I$2:$I$201,"NOT FOUND")</f>
        <v/>
      </c>
      <c r="N169" s="4">
        <f>IF(L169=M169,"Match","MISMATCH")</f>
        <v/>
      </c>
      <c r="O169" s="4">
        <f>Provider_Source!J169</f>
        <v/>
      </c>
      <c r="P169" s="4">
        <f>XLOOKUP($A169,Directory_Output!$A$2:$A$201,Directory_Output!$J$2:$J$201,"NOT FOUND")</f>
        <v/>
      </c>
      <c r="Q169" s="4">
        <f>IF(O169=P169,"Match","MISMATCH")</f>
        <v/>
      </c>
      <c r="R169" s="4">
        <f>COUNTIF(E169:Q169,"MISMATCH")</f>
        <v/>
      </c>
      <c r="S169" s="4">
        <f>IF(R169=0,"Clean","Needs Review")</f>
        <v/>
      </c>
    </row>
    <row r="170">
      <c r="A170" s="4">
        <f>Provider_Source!A170</f>
        <v/>
      </c>
      <c r="B170" s="4">
        <f>Provider_Source!B170</f>
        <v/>
      </c>
      <c r="C170" s="4">
        <f>Provider_Source!H170</f>
        <v/>
      </c>
      <c r="D170" s="4">
        <f>XLOOKUP($A170,Directory_Output!$A$2:$A$201,Directory_Output!$H$2:$H$201,"NOT FOUND")</f>
        <v/>
      </c>
      <c r="E170" s="4">
        <f>IF(C170=D170,"Match","MISMATCH")</f>
        <v/>
      </c>
      <c r="F170" s="4">
        <f>Provider_Source!D170</f>
        <v/>
      </c>
      <c r="G170" s="4">
        <f>XLOOKUP($A170,Directory_Output!$A$2:$A$201,Directory_Output!$D$2:$D$201,"NOT FOUND")</f>
        <v/>
      </c>
      <c r="H170" s="4">
        <f>IF(F170=G170,"Match","MISMATCH")</f>
        <v/>
      </c>
      <c r="I170" s="4">
        <f>Provider_Source!C170</f>
        <v/>
      </c>
      <c r="J170" s="4">
        <f>XLOOKUP($A170,Directory_Output!$A$2:$A$201,Directory_Output!$C$2:$C$201,"NOT FOUND")</f>
        <v/>
      </c>
      <c r="K170" s="4">
        <f>IF(I170=J170,"Match","MISMATCH")</f>
        <v/>
      </c>
      <c r="L170" s="4">
        <f>Provider_Source!I170</f>
        <v/>
      </c>
      <c r="M170" s="4">
        <f>XLOOKUP($A170,Directory_Output!$A$2:$A$201,Directory_Output!$I$2:$I$201,"NOT FOUND")</f>
        <v/>
      </c>
      <c r="N170" s="4">
        <f>IF(L170=M170,"Match","MISMATCH")</f>
        <v/>
      </c>
      <c r="O170" s="4">
        <f>Provider_Source!J170</f>
        <v/>
      </c>
      <c r="P170" s="4">
        <f>XLOOKUP($A170,Directory_Output!$A$2:$A$201,Directory_Output!$J$2:$J$201,"NOT FOUND")</f>
        <v/>
      </c>
      <c r="Q170" s="4">
        <f>IF(O170=P170,"Match","MISMATCH")</f>
        <v/>
      </c>
      <c r="R170" s="4">
        <f>COUNTIF(E170:Q170,"MISMATCH")</f>
        <v/>
      </c>
      <c r="S170" s="4">
        <f>IF(R170=0,"Clean","Needs Review")</f>
        <v/>
      </c>
    </row>
    <row r="171">
      <c r="A171" s="4">
        <f>Provider_Source!A171</f>
        <v/>
      </c>
      <c r="B171" s="4">
        <f>Provider_Source!B171</f>
        <v/>
      </c>
      <c r="C171" s="4">
        <f>Provider_Source!H171</f>
        <v/>
      </c>
      <c r="D171" s="4">
        <f>XLOOKUP($A171,Directory_Output!$A$2:$A$201,Directory_Output!$H$2:$H$201,"NOT FOUND")</f>
        <v/>
      </c>
      <c r="E171" s="4">
        <f>IF(C171=D171,"Match","MISMATCH")</f>
        <v/>
      </c>
      <c r="F171" s="4">
        <f>Provider_Source!D171</f>
        <v/>
      </c>
      <c r="G171" s="4">
        <f>XLOOKUP($A171,Directory_Output!$A$2:$A$201,Directory_Output!$D$2:$D$201,"NOT FOUND")</f>
        <v/>
      </c>
      <c r="H171" s="4">
        <f>IF(F171=G171,"Match","MISMATCH")</f>
        <v/>
      </c>
      <c r="I171" s="4">
        <f>Provider_Source!C171</f>
        <v/>
      </c>
      <c r="J171" s="4">
        <f>XLOOKUP($A171,Directory_Output!$A$2:$A$201,Directory_Output!$C$2:$C$201,"NOT FOUND")</f>
        <v/>
      </c>
      <c r="K171" s="4">
        <f>IF(I171=J171,"Match","MISMATCH")</f>
        <v/>
      </c>
      <c r="L171" s="4">
        <f>Provider_Source!I171</f>
        <v/>
      </c>
      <c r="M171" s="4">
        <f>XLOOKUP($A171,Directory_Output!$A$2:$A$201,Directory_Output!$I$2:$I$201,"NOT FOUND")</f>
        <v/>
      </c>
      <c r="N171" s="4">
        <f>IF(L171=M171,"Match","MISMATCH")</f>
        <v/>
      </c>
      <c r="O171" s="4">
        <f>Provider_Source!J171</f>
        <v/>
      </c>
      <c r="P171" s="4">
        <f>XLOOKUP($A171,Directory_Output!$A$2:$A$201,Directory_Output!$J$2:$J$201,"NOT FOUND")</f>
        <v/>
      </c>
      <c r="Q171" s="4">
        <f>IF(O171=P171,"Match","MISMATCH")</f>
        <v/>
      </c>
      <c r="R171" s="4">
        <f>COUNTIF(E171:Q171,"MISMATCH")</f>
        <v/>
      </c>
      <c r="S171" s="4">
        <f>IF(R171=0,"Clean","Needs Review")</f>
        <v/>
      </c>
    </row>
    <row r="172">
      <c r="A172" s="4">
        <f>Provider_Source!A172</f>
        <v/>
      </c>
      <c r="B172" s="4">
        <f>Provider_Source!B172</f>
        <v/>
      </c>
      <c r="C172" s="4">
        <f>Provider_Source!H172</f>
        <v/>
      </c>
      <c r="D172" s="4">
        <f>XLOOKUP($A172,Directory_Output!$A$2:$A$201,Directory_Output!$H$2:$H$201,"NOT FOUND")</f>
        <v/>
      </c>
      <c r="E172" s="4">
        <f>IF(C172=D172,"Match","MISMATCH")</f>
        <v/>
      </c>
      <c r="F172" s="4">
        <f>Provider_Source!D172</f>
        <v/>
      </c>
      <c r="G172" s="4">
        <f>XLOOKUP($A172,Directory_Output!$A$2:$A$201,Directory_Output!$D$2:$D$201,"NOT FOUND")</f>
        <v/>
      </c>
      <c r="H172" s="4">
        <f>IF(F172=G172,"Match","MISMATCH")</f>
        <v/>
      </c>
      <c r="I172" s="4">
        <f>Provider_Source!C172</f>
        <v/>
      </c>
      <c r="J172" s="4">
        <f>XLOOKUP($A172,Directory_Output!$A$2:$A$201,Directory_Output!$C$2:$C$201,"NOT FOUND")</f>
        <v/>
      </c>
      <c r="K172" s="4">
        <f>IF(I172=J172,"Match","MISMATCH")</f>
        <v/>
      </c>
      <c r="L172" s="4">
        <f>Provider_Source!I172</f>
        <v/>
      </c>
      <c r="M172" s="4">
        <f>XLOOKUP($A172,Directory_Output!$A$2:$A$201,Directory_Output!$I$2:$I$201,"NOT FOUND")</f>
        <v/>
      </c>
      <c r="N172" s="4">
        <f>IF(L172=M172,"Match","MISMATCH")</f>
        <v/>
      </c>
      <c r="O172" s="4">
        <f>Provider_Source!J172</f>
        <v/>
      </c>
      <c r="P172" s="4">
        <f>XLOOKUP($A172,Directory_Output!$A$2:$A$201,Directory_Output!$J$2:$J$201,"NOT FOUND")</f>
        <v/>
      </c>
      <c r="Q172" s="4">
        <f>IF(O172=P172,"Match","MISMATCH")</f>
        <v/>
      </c>
      <c r="R172" s="4">
        <f>COUNTIF(E172:Q172,"MISMATCH")</f>
        <v/>
      </c>
      <c r="S172" s="4">
        <f>IF(R172=0,"Clean","Needs Review")</f>
        <v/>
      </c>
    </row>
    <row r="173">
      <c r="A173" s="4">
        <f>Provider_Source!A173</f>
        <v/>
      </c>
      <c r="B173" s="4">
        <f>Provider_Source!B173</f>
        <v/>
      </c>
      <c r="C173" s="4">
        <f>Provider_Source!H173</f>
        <v/>
      </c>
      <c r="D173" s="4">
        <f>XLOOKUP($A173,Directory_Output!$A$2:$A$201,Directory_Output!$H$2:$H$201,"NOT FOUND")</f>
        <v/>
      </c>
      <c r="E173" s="4">
        <f>IF(C173=D173,"Match","MISMATCH")</f>
        <v/>
      </c>
      <c r="F173" s="4">
        <f>Provider_Source!D173</f>
        <v/>
      </c>
      <c r="G173" s="4">
        <f>XLOOKUP($A173,Directory_Output!$A$2:$A$201,Directory_Output!$D$2:$D$201,"NOT FOUND")</f>
        <v/>
      </c>
      <c r="H173" s="4">
        <f>IF(F173=G173,"Match","MISMATCH")</f>
        <v/>
      </c>
      <c r="I173" s="4">
        <f>Provider_Source!C173</f>
        <v/>
      </c>
      <c r="J173" s="4">
        <f>XLOOKUP($A173,Directory_Output!$A$2:$A$201,Directory_Output!$C$2:$C$201,"NOT FOUND")</f>
        <v/>
      </c>
      <c r="K173" s="4">
        <f>IF(I173=J173,"Match","MISMATCH")</f>
        <v/>
      </c>
      <c r="L173" s="4">
        <f>Provider_Source!I173</f>
        <v/>
      </c>
      <c r="M173" s="4">
        <f>XLOOKUP($A173,Directory_Output!$A$2:$A$201,Directory_Output!$I$2:$I$201,"NOT FOUND")</f>
        <v/>
      </c>
      <c r="N173" s="4">
        <f>IF(L173=M173,"Match","MISMATCH")</f>
        <v/>
      </c>
      <c r="O173" s="4">
        <f>Provider_Source!J173</f>
        <v/>
      </c>
      <c r="P173" s="4">
        <f>XLOOKUP($A173,Directory_Output!$A$2:$A$201,Directory_Output!$J$2:$J$201,"NOT FOUND")</f>
        <v/>
      </c>
      <c r="Q173" s="4">
        <f>IF(O173=P173,"Match","MISMATCH")</f>
        <v/>
      </c>
      <c r="R173" s="4">
        <f>COUNTIF(E173:Q173,"MISMATCH")</f>
        <v/>
      </c>
      <c r="S173" s="4">
        <f>IF(R173=0,"Clean","Needs Review")</f>
        <v/>
      </c>
    </row>
    <row r="174">
      <c r="A174" s="4">
        <f>Provider_Source!A174</f>
        <v/>
      </c>
      <c r="B174" s="4">
        <f>Provider_Source!B174</f>
        <v/>
      </c>
      <c r="C174" s="4">
        <f>Provider_Source!H174</f>
        <v/>
      </c>
      <c r="D174" s="4">
        <f>XLOOKUP($A174,Directory_Output!$A$2:$A$201,Directory_Output!$H$2:$H$201,"NOT FOUND")</f>
        <v/>
      </c>
      <c r="E174" s="4">
        <f>IF(C174=D174,"Match","MISMATCH")</f>
        <v/>
      </c>
      <c r="F174" s="4">
        <f>Provider_Source!D174</f>
        <v/>
      </c>
      <c r="G174" s="4">
        <f>XLOOKUP($A174,Directory_Output!$A$2:$A$201,Directory_Output!$D$2:$D$201,"NOT FOUND")</f>
        <v/>
      </c>
      <c r="H174" s="4">
        <f>IF(F174=G174,"Match","MISMATCH")</f>
        <v/>
      </c>
      <c r="I174" s="4">
        <f>Provider_Source!C174</f>
        <v/>
      </c>
      <c r="J174" s="4">
        <f>XLOOKUP($A174,Directory_Output!$A$2:$A$201,Directory_Output!$C$2:$C$201,"NOT FOUND")</f>
        <v/>
      </c>
      <c r="K174" s="4">
        <f>IF(I174=J174,"Match","MISMATCH")</f>
        <v/>
      </c>
      <c r="L174" s="4">
        <f>Provider_Source!I174</f>
        <v/>
      </c>
      <c r="M174" s="4">
        <f>XLOOKUP($A174,Directory_Output!$A$2:$A$201,Directory_Output!$I$2:$I$201,"NOT FOUND")</f>
        <v/>
      </c>
      <c r="N174" s="4">
        <f>IF(L174=M174,"Match","MISMATCH")</f>
        <v/>
      </c>
      <c r="O174" s="4">
        <f>Provider_Source!J174</f>
        <v/>
      </c>
      <c r="P174" s="4">
        <f>XLOOKUP($A174,Directory_Output!$A$2:$A$201,Directory_Output!$J$2:$J$201,"NOT FOUND")</f>
        <v/>
      </c>
      <c r="Q174" s="4">
        <f>IF(O174=P174,"Match","MISMATCH")</f>
        <v/>
      </c>
      <c r="R174" s="4">
        <f>COUNTIF(E174:Q174,"MISMATCH")</f>
        <v/>
      </c>
      <c r="S174" s="4">
        <f>IF(R174=0,"Clean","Needs Review")</f>
        <v/>
      </c>
    </row>
    <row r="175">
      <c r="A175" s="4">
        <f>Provider_Source!A175</f>
        <v/>
      </c>
      <c r="B175" s="4">
        <f>Provider_Source!B175</f>
        <v/>
      </c>
      <c r="C175" s="4">
        <f>Provider_Source!H175</f>
        <v/>
      </c>
      <c r="D175" s="4">
        <f>XLOOKUP($A175,Directory_Output!$A$2:$A$201,Directory_Output!$H$2:$H$201,"NOT FOUND")</f>
        <v/>
      </c>
      <c r="E175" s="4">
        <f>IF(C175=D175,"Match","MISMATCH")</f>
        <v/>
      </c>
      <c r="F175" s="4">
        <f>Provider_Source!D175</f>
        <v/>
      </c>
      <c r="G175" s="4">
        <f>XLOOKUP($A175,Directory_Output!$A$2:$A$201,Directory_Output!$D$2:$D$201,"NOT FOUND")</f>
        <v/>
      </c>
      <c r="H175" s="4">
        <f>IF(F175=G175,"Match","MISMATCH")</f>
        <v/>
      </c>
      <c r="I175" s="4">
        <f>Provider_Source!C175</f>
        <v/>
      </c>
      <c r="J175" s="4">
        <f>XLOOKUP($A175,Directory_Output!$A$2:$A$201,Directory_Output!$C$2:$C$201,"NOT FOUND")</f>
        <v/>
      </c>
      <c r="K175" s="4">
        <f>IF(I175=J175,"Match","MISMATCH")</f>
        <v/>
      </c>
      <c r="L175" s="4">
        <f>Provider_Source!I175</f>
        <v/>
      </c>
      <c r="M175" s="4">
        <f>XLOOKUP($A175,Directory_Output!$A$2:$A$201,Directory_Output!$I$2:$I$201,"NOT FOUND")</f>
        <v/>
      </c>
      <c r="N175" s="4">
        <f>IF(L175=M175,"Match","MISMATCH")</f>
        <v/>
      </c>
      <c r="O175" s="4">
        <f>Provider_Source!J175</f>
        <v/>
      </c>
      <c r="P175" s="4">
        <f>XLOOKUP($A175,Directory_Output!$A$2:$A$201,Directory_Output!$J$2:$J$201,"NOT FOUND")</f>
        <v/>
      </c>
      <c r="Q175" s="4">
        <f>IF(O175=P175,"Match","MISMATCH")</f>
        <v/>
      </c>
      <c r="R175" s="4">
        <f>COUNTIF(E175:Q175,"MISMATCH")</f>
        <v/>
      </c>
      <c r="S175" s="4">
        <f>IF(R175=0,"Clean","Needs Review")</f>
        <v/>
      </c>
    </row>
    <row r="176">
      <c r="A176" s="4">
        <f>Provider_Source!A176</f>
        <v/>
      </c>
      <c r="B176" s="4">
        <f>Provider_Source!B176</f>
        <v/>
      </c>
      <c r="C176" s="4">
        <f>Provider_Source!H176</f>
        <v/>
      </c>
      <c r="D176" s="4">
        <f>XLOOKUP($A176,Directory_Output!$A$2:$A$201,Directory_Output!$H$2:$H$201,"NOT FOUND")</f>
        <v/>
      </c>
      <c r="E176" s="4">
        <f>IF(C176=D176,"Match","MISMATCH")</f>
        <v/>
      </c>
      <c r="F176" s="4">
        <f>Provider_Source!D176</f>
        <v/>
      </c>
      <c r="G176" s="4">
        <f>XLOOKUP($A176,Directory_Output!$A$2:$A$201,Directory_Output!$D$2:$D$201,"NOT FOUND")</f>
        <v/>
      </c>
      <c r="H176" s="4">
        <f>IF(F176=G176,"Match","MISMATCH")</f>
        <v/>
      </c>
      <c r="I176" s="4">
        <f>Provider_Source!C176</f>
        <v/>
      </c>
      <c r="J176" s="4">
        <f>XLOOKUP($A176,Directory_Output!$A$2:$A$201,Directory_Output!$C$2:$C$201,"NOT FOUND")</f>
        <v/>
      </c>
      <c r="K176" s="4">
        <f>IF(I176=J176,"Match","MISMATCH")</f>
        <v/>
      </c>
      <c r="L176" s="4">
        <f>Provider_Source!I176</f>
        <v/>
      </c>
      <c r="M176" s="4">
        <f>XLOOKUP($A176,Directory_Output!$A$2:$A$201,Directory_Output!$I$2:$I$201,"NOT FOUND")</f>
        <v/>
      </c>
      <c r="N176" s="4">
        <f>IF(L176=M176,"Match","MISMATCH")</f>
        <v/>
      </c>
      <c r="O176" s="4">
        <f>Provider_Source!J176</f>
        <v/>
      </c>
      <c r="P176" s="4">
        <f>XLOOKUP($A176,Directory_Output!$A$2:$A$201,Directory_Output!$J$2:$J$201,"NOT FOUND")</f>
        <v/>
      </c>
      <c r="Q176" s="4">
        <f>IF(O176=P176,"Match","MISMATCH")</f>
        <v/>
      </c>
      <c r="R176" s="4">
        <f>COUNTIF(E176:Q176,"MISMATCH")</f>
        <v/>
      </c>
      <c r="S176" s="4">
        <f>IF(R176=0,"Clean","Needs Review")</f>
        <v/>
      </c>
    </row>
    <row r="177">
      <c r="A177" s="4">
        <f>Provider_Source!A177</f>
        <v/>
      </c>
      <c r="B177" s="4">
        <f>Provider_Source!B177</f>
        <v/>
      </c>
      <c r="C177" s="4">
        <f>Provider_Source!H177</f>
        <v/>
      </c>
      <c r="D177" s="4">
        <f>XLOOKUP($A177,Directory_Output!$A$2:$A$201,Directory_Output!$H$2:$H$201,"NOT FOUND")</f>
        <v/>
      </c>
      <c r="E177" s="4">
        <f>IF(C177=D177,"Match","MISMATCH")</f>
        <v/>
      </c>
      <c r="F177" s="4">
        <f>Provider_Source!D177</f>
        <v/>
      </c>
      <c r="G177" s="4">
        <f>XLOOKUP($A177,Directory_Output!$A$2:$A$201,Directory_Output!$D$2:$D$201,"NOT FOUND")</f>
        <v/>
      </c>
      <c r="H177" s="4">
        <f>IF(F177=G177,"Match","MISMATCH")</f>
        <v/>
      </c>
      <c r="I177" s="4">
        <f>Provider_Source!C177</f>
        <v/>
      </c>
      <c r="J177" s="4">
        <f>XLOOKUP($A177,Directory_Output!$A$2:$A$201,Directory_Output!$C$2:$C$201,"NOT FOUND")</f>
        <v/>
      </c>
      <c r="K177" s="4">
        <f>IF(I177=J177,"Match","MISMATCH")</f>
        <v/>
      </c>
      <c r="L177" s="4">
        <f>Provider_Source!I177</f>
        <v/>
      </c>
      <c r="M177" s="4">
        <f>XLOOKUP($A177,Directory_Output!$A$2:$A$201,Directory_Output!$I$2:$I$201,"NOT FOUND")</f>
        <v/>
      </c>
      <c r="N177" s="4">
        <f>IF(L177=M177,"Match","MISMATCH")</f>
        <v/>
      </c>
      <c r="O177" s="4">
        <f>Provider_Source!J177</f>
        <v/>
      </c>
      <c r="P177" s="4">
        <f>XLOOKUP($A177,Directory_Output!$A$2:$A$201,Directory_Output!$J$2:$J$201,"NOT FOUND")</f>
        <v/>
      </c>
      <c r="Q177" s="4">
        <f>IF(O177=P177,"Match","MISMATCH")</f>
        <v/>
      </c>
      <c r="R177" s="4">
        <f>COUNTIF(E177:Q177,"MISMATCH")</f>
        <v/>
      </c>
      <c r="S177" s="4">
        <f>IF(R177=0,"Clean","Needs Review")</f>
        <v/>
      </c>
    </row>
    <row r="178">
      <c r="A178" s="4">
        <f>Provider_Source!A178</f>
        <v/>
      </c>
      <c r="B178" s="4">
        <f>Provider_Source!B178</f>
        <v/>
      </c>
      <c r="C178" s="4">
        <f>Provider_Source!H178</f>
        <v/>
      </c>
      <c r="D178" s="4">
        <f>XLOOKUP($A178,Directory_Output!$A$2:$A$201,Directory_Output!$H$2:$H$201,"NOT FOUND")</f>
        <v/>
      </c>
      <c r="E178" s="4">
        <f>IF(C178=D178,"Match","MISMATCH")</f>
        <v/>
      </c>
      <c r="F178" s="4">
        <f>Provider_Source!D178</f>
        <v/>
      </c>
      <c r="G178" s="4">
        <f>XLOOKUP($A178,Directory_Output!$A$2:$A$201,Directory_Output!$D$2:$D$201,"NOT FOUND")</f>
        <v/>
      </c>
      <c r="H178" s="4">
        <f>IF(F178=G178,"Match","MISMATCH")</f>
        <v/>
      </c>
      <c r="I178" s="4">
        <f>Provider_Source!C178</f>
        <v/>
      </c>
      <c r="J178" s="4">
        <f>XLOOKUP($A178,Directory_Output!$A$2:$A$201,Directory_Output!$C$2:$C$201,"NOT FOUND")</f>
        <v/>
      </c>
      <c r="K178" s="4">
        <f>IF(I178=J178,"Match","MISMATCH")</f>
        <v/>
      </c>
      <c r="L178" s="4">
        <f>Provider_Source!I178</f>
        <v/>
      </c>
      <c r="M178" s="4">
        <f>XLOOKUP($A178,Directory_Output!$A$2:$A$201,Directory_Output!$I$2:$I$201,"NOT FOUND")</f>
        <v/>
      </c>
      <c r="N178" s="4">
        <f>IF(L178=M178,"Match","MISMATCH")</f>
        <v/>
      </c>
      <c r="O178" s="4">
        <f>Provider_Source!J178</f>
        <v/>
      </c>
      <c r="P178" s="4">
        <f>XLOOKUP($A178,Directory_Output!$A$2:$A$201,Directory_Output!$J$2:$J$201,"NOT FOUND")</f>
        <v/>
      </c>
      <c r="Q178" s="4">
        <f>IF(O178=P178,"Match","MISMATCH")</f>
        <v/>
      </c>
      <c r="R178" s="4">
        <f>COUNTIF(E178:Q178,"MISMATCH")</f>
        <v/>
      </c>
      <c r="S178" s="4">
        <f>IF(R178=0,"Clean","Needs Review")</f>
        <v/>
      </c>
    </row>
    <row r="179">
      <c r="A179" s="4">
        <f>Provider_Source!A179</f>
        <v/>
      </c>
      <c r="B179" s="4">
        <f>Provider_Source!B179</f>
        <v/>
      </c>
      <c r="C179" s="4">
        <f>Provider_Source!H179</f>
        <v/>
      </c>
      <c r="D179" s="4">
        <f>XLOOKUP($A179,Directory_Output!$A$2:$A$201,Directory_Output!$H$2:$H$201,"NOT FOUND")</f>
        <v/>
      </c>
      <c r="E179" s="4">
        <f>IF(C179=D179,"Match","MISMATCH")</f>
        <v/>
      </c>
      <c r="F179" s="4">
        <f>Provider_Source!D179</f>
        <v/>
      </c>
      <c r="G179" s="4">
        <f>XLOOKUP($A179,Directory_Output!$A$2:$A$201,Directory_Output!$D$2:$D$201,"NOT FOUND")</f>
        <v/>
      </c>
      <c r="H179" s="4">
        <f>IF(F179=G179,"Match","MISMATCH")</f>
        <v/>
      </c>
      <c r="I179" s="4">
        <f>Provider_Source!C179</f>
        <v/>
      </c>
      <c r="J179" s="4">
        <f>XLOOKUP($A179,Directory_Output!$A$2:$A$201,Directory_Output!$C$2:$C$201,"NOT FOUND")</f>
        <v/>
      </c>
      <c r="K179" s="4">
        <f>IF(I179=J179,"Match","MISMATCH")</f>
        <v/>
      </c>
      <c r="L179" s="4">
        <f>Provider_Source!I179</f>
        <v/>
      </c>
      <c r="M179" s="4">
        <f>XLOOKUP($A179,Directory_Output!$A$2:$A$201,Directory_Output!$I$2:$I$201,"NOT FOUND")</f>
        <v/>
      </c>
      <c r="N179" s="4">
        <f>IF(L179=M179,"Match","MISMATCH")</f>
        <v/>
      </c>
      <c r="O179" s="4">
        <f>Provider_Source!J179</f>
        <v/>
      </c>
      <c r="P179" s="4">
        <f>XLOOKUP($A179,Directory_Output!$A$2:$A$201,Directory_Output!$J$2:$J$201,"NOT FOUND")</f>
        <v/>
      </c>
      <c r="Q179" s="4">
        <f>IF(O179=P179,"Match","MISMATCH")</f>
        <v/>
      </c>
      <c r="R179" s="4">
        <f>COUNTIF(E179:Q179,"MISMATCH")</f>
        <v/>
      </c>
      <c r="S179" s="4">
        <f>IF(R179=0,"Clean","Needs Review")</f>
        <v/>
      </c>
    </row>
    <row r="180">
      <c r="A180" s="4">
        <f>Provider_Source!A180</f>
        <v/>
      </c>
      <c r="B180" s="4">
        <f>Provider_Source!B180</f>
        <v/>
      </c>
      <c r="C180" s="4">
        <f>Provider_Source!H180</f>
        <v/>
      </c>
      <c r="D180" s="4">
        <f>XLOOKUP($A180,Directory_Output!$A$2:$A$201,Directory_Output!$H$2:$H$201,"NOT FOUND")</f>
        <v/>
      </c>
      <c r="E180" s="4">
        <f>IF(C180=D180,"Match","MISMATCH")</f>
        <v/>
      </c>
      <c r="F180" s="4">
        <f>Provider_Source!D180</f>
        <v/>
      </c>
      <c r="G180" s="4">
        <f>XLOOKUP($A180,Directory_Output!$A$2:$A$201,Directory_Output!$D$2:$D$201,"NOT FOUND")</f>
        <v/>
      </c>
      <c r="H180" s="4">
        <f>IF(F180=G180,"Match","MISMATCH")</f>
        <v/>
      </c>
      <c r="I180" s="4">
        <f>Provider_Source!C180</f>
        <v/>
      </c>
      <c r="J180" s="4">
        <f>XLOOKUP($A180,Directory_Output!$A$2:$A$201,Directory_Output!$C$2:$C$201,"NOT FOUND")</f>
        <v/>
      </c>
      <c r="K180" s="4">
        <f>IF(I180=J180,"Match","MISMATCH")</f>
        <v/>
      </c>
      <c r="L180" s="4">
        <f>Provider_Source!I180</f>
        <v/>
      </c>
      <c r="M180" s="4">
        <f>XLOOKUP($A180,Directory_Output!$A$2:$A$201,Directory_Output!$I$2:$I$201,"NOT FOUND")</f>
        <v/>
      </c>
      <c r="N180" s="4">
        <f>IF(L180=M180,"Match","MISMATCH")</f>
        <v/>
      </c>
      <c r="O180" s="4">
        <f>Provider_Source!J180</f>
        <v/>
      </c>
      <c r="P180" s="4">
        <f>XLOOKUP($A180,Directory_Output!$A$2:$A$201,Directory_Output!$J$2:$J$201,"NOT FOUND")</f>
        <v/>
      </c>
      <c r="Q180" s="4">
        <f>IF(O180=P180,"Match","MISMATCH")</f>
        <v/>
      </c>
      <c r="R180" s="4">
        <f>COUNTIF(E180:Q180,"MISMATCH")</f>
        <v/>
      </c>
      <c r="S180" s="4">
        <f>IF(R180=0,"Clean","Needs Review")</f>
        <v/>
      </c>
    </row>
    <row r="181">
      <c r="A181" s="4">
        <f>Provider_Source!A181</f>
        <v/>
      </c>
      <c r="B181" s="4">
        <f>Provider_Source!B181</f>
        <v/>
      </c>
      <c r="C181" s="4">
        <f>Provider_Source!H181</f>
        <v/>
      </c>
      <c r="D181" s="4">
        <f>XLOOKUP($A181,Directory_Output!$A$2:$A$201,Directory_Output!$H$2:$H$201,"NOT FOUND")</f>
        <v/>
      </c>
      <c r="E181" s="4">
        <f>IF(C181=D181,"Match","MISMATCH")</f>
        <v/>
      </c>
      <c r="F181" s="4">
        <f>Provider_Source!D181</f>
        <v/>
      </c>
      <c r="G181" s="4">
        <f>XLOOKUP($A181,Directory_Output!$A$2:$A$201,Directory_Output!$D$2:$D$201,"NOT FOUND")</f>
        <v/>
      </c>
      <c r="H181" s="4">
        <f>IF(F181=G181,"Match","MISMATCH")</f>
        <v/>
      </c>
      <c r="I181" s="4">
        <f>Provider_Source!C181</f>
        <v/>
      </c>
      <c r="J181" s="4">
        <f>XLOOKUP($A181,Directory_Output!$A$2:$A$201,Directory_Output!$C$2:$C$201,"NOT FOUND")</f>
        <v/>
      </c>
      <c r="K181" s="4">
        <f>IF(I181=J181,"Match","MISMATCH")</f>
        <v/>
      </c>
      <c r="L181" s="4">
        <f>Provider_Source!I181</f>
        <v/>
      </c>
      <c r="M181" s="4">
        <f>XLOOKUP($A181,Directory_Output!$A$2:$A$201,Directory_Output!$I$2:$I$201,"NOT FOUND")</f>
        <v/>
      </c>
      <c r="N181" s="4">
        <f>IF(L181=M181,"Match","MISMATCH")</f>
        <v/>
      </c>
      <c r="O181" s="4">
        <f>Provider_Source!J181</f>
        <v/>
      </c>
      <c r="P181" s="4">
        <f>XLOOKUP($A181,Directory_Output!$A$2:$A$201,Directory_Output!$J$2:$J$201,"NOT FOUND")</f>
        <v/>
      </c>
      <c r="Q181" s="4">
        <f>IF(O181=P181,"Match","MISMATCH")</f>
        <v/>
      </c>
      <c r="R181" s="4">
        <f>COUNTIF(E181:Q181,"MISMATCH")</f>
        <v/>
      </c>
      <c r="S181" s="4">
        <f>IF(R181=0,"Clean","Needs Review")</f>
        <v/>
      </c>
    </row>
    <row r="182">
      <c r="A182" s="4">
        <f>Provider_Source!A182</f>
        <v/>
      </c>
      <c r="B182" s="4">
        <f>Provider_Source!B182</f>
        <v/>
      </c>
      <c r="C182" s="4">
        <f>Provider_Source!H182</f>
        <v/>
      </c>
      <c r="D182" s="4">
        <f>XLOOKUP($A182,Directory_Output!$A$2:$A$201,Directory_Output!$H$2:$H$201,"NOT FOUND")</f>
        <v/>
      </c>
      <c r="E182" s="4">
        <f>IF(C182=D182,"Match","MISMATCH")</f>
        <v/>
      </c>
      <c r="F182" s="4">
        <f>Provider_Source!D182</f>
        <v/>
      </c>
      <c r="G182" s="4">
        <f>XLOOKUP($A182,Directory_Output!$A$2:$A$201,Directory_Output!$D$2:$D$201,"NOT FOUND")</f>
        <v/>
      </c>
      <c r="H182" s="4">
        <f>IF(F182=G182,"Match","MISMATCH")</f>
        <v/>
      </c>
      <c r="I182" s="4">
        <f>Provider_Source!C182</f>
        <v/>
      </c>
      <c r="J182" s="4">
        <f>XLOOKUP($A182,Directory_Output!$A$2:$A$201,Directory_Output!$C$2:$C$201,"NOT FOUND")</f>
        <v/>
      </c>
      <c r="K182" s="4">
        <f>IF(I182=J182,"Match","MISMATCH")</f>
        <v/>
      </c>
      <c r="L182" s="4">
        <f>Provider_Source!I182</f>
        <v/>
      </c>
      <c r="M182" s="4">
        <f>XLOOKUP($A182,Directory_Output!$A$2:$A$201,Directory_Output!$I$2:$I$201,"NOT FOUND")</f>
        <v/>
      </c>
      <c r="N182" s="4">
        <f>IF(L182=M182,"Match","MISMATCH")</f>
        <v/>
      </c>
      <c r="O182" s="4">
        <f>Provider_Source!J182</f>
        <v/>
      </c>
      <c r="P182" s="4">
        <f>XLOOKUP($A182,Directory_Output!$A$2:$A$201,Directory_Output!$J$2:$J$201,"NOT FOUND")</f>
        <v/>
      </c>
      <c r="Q182" s="4">
        <f>IF(O182=P182,"Match","MISMATCH")</f>
        <v/>
      </c>
      <c r="R182" s="4">
        <f>COUNTIF(E182:Q182,"MISMATCH")</f>
        <v/>
      </c>
      <c r="S182" s="4">
        <f>IF(R182=0,"Clean","Needs Review")</f>
        <v/>
      </c>
    </row>
    <row r="183">
      <c r="A183" s="4">
        <f>Provider_Source!A183</f>
        <v/>
      </c>
      <c r="B183" s="4">
        <f>Provider_Source!B183</f>
        <v/>
      </c>
      <c r="C183" s="4">
        <f>Provider_Source!H183</f>
        <v/>
      </c>
      <c r="D183" s="4">
        <f>XLOOKUP($A183,Directory_Output!$A$2:$A$201,Directory_Output!$H$2:$H$201,"NOT FOUND")</f>
        <v/>
      </c>
      <c r="E183" s="4">
        <f>IF(C183=D183,"Match","MISMATCH")</f>
        <v/>
      </c>
      <c r="F183" s="4">
        <f>Provider_Source!D183</f>
        <v/>
      </c>
      <c r="G183" s="4">
        <f>XLOOKUP($A183,Directory_Output!$A$2:$A$201,Directory_Output!$D$2:$D$201,"NOT FOUND")</f>
        <v/>
      </c>
      <c r="H183" s="4">
        <f>IF(F183=G183,"Match","MISMATCH")</f>
        <v/>
      </c>
      <c r="I183" s="4">
        <f>Provider_Source!C183</f>
        <v/>
      </c>
      <c r="J183" s="4">
        <f>XLOOKUP($A183,Directory_Output!$A$2:$A$201,Directory_Output!$C$2:$C$201,"NOT FOUND")</f>
        <v/>
      </c>
      <c r="K183" s="4">
        <f>IF(I183=J183,"Match","MISMATCH")</f>
        <v/>
      </c>
      <c r="L183" s="4">
        <f>Provider_Source!I183</f>
        <v/>
      </c>
      <c r="M183" s="4">
        <f>XLOOKUP($A183,Directory_Output!$A$2:$A$201,Directory_Output!$I$2:$I$201,"NOT FOUND")</f>
        <v/>
      </c>
      <c r="N183" s="4">
        <f>IF(L183=M183,"Match","MISMATCH")</f>
        <v/>
      </c>
      <c r="O183" s="4">
        <f>Provider_Source!J183</f>
        <v/>
      </c>
      <c r="P183" s="4">
        <f>XLOOKUP($A183,Directory_Output!$A$2:$A$201,Directory_Output!$J$2:$J$201,"NOT FOUND")</f>
        <v/>
      </c>
      <c r="Q183" s="4">
        <f>IF(O183=P183,"Match","MISMATCH")</f>
        <v/>
      </c>
      <c r="R183" s="4">
        <f>COUNTIF(E183:Q183,"MISMATCH")</f>
        <v/>
      </c>
      <c r="S183" s="4">
        <f>IF(R183=0,"Clean","Needs Review")</f>
        <v/>
      </c>
    </row>
    <row r="184">
      <c r="A184" s="4">
        <f>Provider_Source!A184</f>
        <v/>
      </c>
      <c r="B184" s="4">
        <f>Provider_Source!B184</f>
        <v/>
      </c>
      <c r="C184" s="4">
        <f>Provider_Source!H184</f>
        <v/>
      </c>
      <c r="D184" s="4">
        <f>XLOOKUP($A184,Directory_Output!$A$2:$A$201,Directory_Output!$H$2:$H$201,"NOT FOUND")</f>
        <v/>
      </c>
      <c r="E184" s="4">
        <f>IF(C184=D184,"Match","MISMATCH")</f>
        <v/>
      </c>
      <c r="F184" s="4">
        <f>Provider_Source!D184</f>
        <v/>
      </c>
      <c r="G184" s="4">
        <f>XLOOKUP($A184,Directory_Output!$A$2:$A$201,Directory_Output!$D$2:$D$201,"NOT FOUND")</f>
        <v/>
      </c>
      <c r="H184" s="4">
        <f>IF(F184=G184,"Match","MISMATCH")</f>
        <v/>
      </c>
      <c r="I184" s="4">
        <f>Provider_Source!C184</f>
        <v/>
      </c>
      <c r="J184" s="4">
        <f>XLOOKUP($A184,Directory_Output!$A$2:$A$201,Directory_Output!$C$2:$C$201,"NOT FOUND")</f>
        <v/>
      </c>
      <c r="K184" s="4">
        <f>IF(I184=J184,"Match","MISMATCH")</f>
        <v/>
      </c>
      <c r="L184" s="4">
        <f>Provider_Source!I184</f>
        <v/>
      </c>
      <c r="M184" s="4">
        <f>XLOOKUP($A184,Directory_Output!$A$2:$A$201,Directory_Output!$I$2:$I$201,"NOT FOUND")</f>
        <v/>
      </c>
      <c r="N184" s="4">
        <f>IF(L184=M184,"Match","MISMATCH")</f>
        <v/>
      </c>
      <c r="O184" s="4">
        <f>Provider_Source!J184</f>
        <v/>
      </c>
      <c r="P184" s="4">
        <f>XLOOKUP($A184,Directory_Output!$A$2:$A$201,Directory_Output!$J$2:$J$201,"NOT FOUND")</f>
        <v/>
      </c>
      <c r="Q184" s="4">
        <f>IF(O184=P184,"Match","MISMATCH")</f>
        <v/>
      </c>
      <c r="R184" s="4">
        <f>COUNTIF(E184:Q184,"MISMATCH")</f>
        <v/>
      </c>
      <c r="S184" s="4">
        <f>IF(R184=0,"Clean","Needs Review")</f>
        <v/>
      </c>
    </row>
    <row r="185">
      <c r="A185" s="4">
        <f>Provider_Source!A185</f>
        <v/>
      </c>
      <c r="B185" s="4">
        <f>Provider_Source!B185</f>
        <v/>
      </c>
      <c r="C185" s="4">
        <f>Provider_Source!H185</f>
        <v/>
      </c>
      <c r="D185" s="4">
        <f>XLOOKUP($A185,Directory_Output!$A$2:$A$201,Directory_Output!$H$2:$H$201,"NOT FOUND")</f>
        <v/>
      </c>
      <c r="E185" s="4">
        <f>IF(C185=D185,"Match","MISMATCH")</f>
        <v/>
      </c>
      <c r="F185" s="4">
        <f>Provider_Source!D185</f>
        <v/>
      </c>
      <c r="G185" s="4">
        <f>XLOOKUP($A185,Directory_Output!$A$2:$A$201,Directory_Output!$D$2:$D$201,"NOT FOUND")</f>
        <v/>
      </c>
      <c r="H185" s="4">
        <f>IF(F185=G185,"Match","MISMATCH")</f>
        <v/>
      </c>
      <c r="I185" s="4">
        <f>Provider_Source!C185</f>
        <v/>
      </c>
      <c r="J185" s="4">
        <f>XLOOKUP($A185,Directory_Output!$A$2:$A$201,Directory_Output!$C$2:$C$201,"NOT FOUND")</f>
        <v/>
      </c>
      <c r="K185" s="4">
        <f>IF(I185=J185,"Match","MISMATCH")</f>
        <v/>
      </c>
      <c r="L185" s="4">
        <f>Provider_Source!I185</f>
        <v/>
      </c>
      <c r="M185" s="4">
        <f>XLOOKUP($A185,Directory_Output!$A$2:$A$201,Directory_Output!$I$2:$I$201,"NOT FOUND")</f>
        <v/>
      </c>
      <c r="N185" s="4">
        <f>IF(L185=M185,"Match","MISMATCH")</f>
        <v/>
      </c>
      <c r="O185" s="4">
        <f>Provider_Source!J185</f>
        <v/>
      </c>
      <c r="P185" s="4">
        <f>XLOOKUP($A185,Directory_Output!$A$2:$A$201,Directory_Output!$J$2:$J$201,"NOT FOUND")</f>
        <v/>
      </c>
      <c r="Q185" s="4">
        <f>IF(O185=P185,"Match","MISMATCH")</f>
        <v/>
      </c>
      <c r="R185" s="4">
        <f>COUNTIF(E185:Q185,"MISMATCH")</f>
        <v/>
      </c>
      <c r="S185" s="4">
        <f>IF(R185=0,"Clean","Needs Review")</f>
        <v/>
      </c>
    </row>
    <row r="186">
      <c r="A186" s="4">
        <f>Provider_Source!A186</f>
        <v/>
      </c>
      <c r="B186" s="4">
        <f>Provider_Source!B186</f>
        <v/>
      </c>
      <c r="C186" s="4">
        <f>Provider_Source!H186</f>
        <v/>
      </c>
      <c r="D186" s="4">
        <f>XLOOKUP($A186,Directory_Output!$A$2:$A$201,Directory_Output!$H$2:$H$201,"NOT FOUND")</f>
        <v/>
      </c>
      <c r="E186" s="4">
        <f>IF(C186=D186,"Match","MISMATCH")</f>
        <v/>
      </c>
      <c r="F186" s="4">
        <f>Provider_Source!D186</f>
        <v/>
      </c>
      <c r="G186" s="4">
        <f>XLOOKUP($A186,Directory_Output!$A$2:$A$201,Directory_Output!$D$2:$D$201,"NOT FOUND")</f>
        <v/>
      </c>
      <c r="H186" s="4">
        <f>IF(F186=G186,"Match","MISMATCH")</f>
        <v/>
      </c>
      <c r="I186" s="4">
        <f>Provider_Source!C186</f>
        <v/>
      </c>
      <c r="J186" s="4">
        <f>XLOOKUP($A186,Directory_Output!$A$2:$A$201,Directory_Output!$C$2:$C$201,"NOT FOUND")</f>
        <v/>
      </c>
      <c r="K186" s="4">
        <f>IF(I186=J186,"Match","MISMATCH")</f>
        <v/>
      </c>
      <c r="L186" s="4">
        <f>Provider_Source!I186</f>
        <v/>
      </c>
      <c r="M186" s="4">
        <f>XLOOKUP($A186,Directory_Output!$A$2:$A$201,Directory_Output!$I$2:$I$201,"NOT FOUND")</f>
        <v/>
      </c>
      <c r="N186" s="4">
        <f>IF(L186=M186,"Match","MISMATCH")</f>
        <v/>
      </c>
      <c r="O186" s="4">
        <f>Provider_Source!J186</f>
        <v/>
      </c>
      <c r="P186" s="4">
        <f>XLOOKUP($A186,Directory_Output!$A$2:$A$201,Directory_Output!$J$2:$J$201,"NOT FOUND")</f>
        <v/>
      </c>
      <c r="Q186" s="4">
        <f>IF(O186=P186,"Match","MISMATCH")</f>
        <v/>
      </c>
      <c r="R186" s="4">
        <f>COUNTIF(E186:Q186,"MISMATCH")</f>
        <v/>
      </c>
      <c r="S186" s="4">
        <f>IF(R186=0,"Clean","Needs Review")</f>
        <v/>
      </c>
    </row>
    <row r="187">
      <c r="A187" s="4">
        <f>Provider_Source!A187</f>
        <v/>
      </c>
      <c r="B187" s="4">
        <f>Provider_Source!B187</f>
        <v/>
      </c>
      <c r="C187" s="4">
        <f>Provider_Source!H187</f>
        <v/>
      </c>
      <c r="D187" s="4">
        <f>XLOOKUP($A187,Directory_Output!$A$2:$A$201,Directory_Output!$H$2:$H$201,"NOT FOUND")</f>
        <v/>
      </c>
      <c r="E187" s="4">
        <f>IF(C187=D187,"Match","MISMATCH")</f>
        <v/>
      </c>
      <c r="F187" s="4">
        <f>Provider_Source!D187</f>
        <v/>
      </c>
      <c r="G187" s="4">
        <f>XLOOKUP($A187,Directory_Output!$A$2:$A$201,Directory_Output!$D$2:$D$201,"NOT FOUND")</f>
        <v/>
      </c>
      <c r="H187" s="4">
        <f>IF(F187=G187,"Match","MISMATCH")</f>
        <v/>
      </c>
      <c r="I187" s="4">
        <f>Provider_Source!C187</f>
        <v/>
      </c>
      <c r="J187" s="4">
        <f>XLOOKUP($A187,Directory_Output!$A$2:$A$201,Directory_Output!$C$2:$C$201,"NOT FOUND")</f>
        <v/>
      </c>
      <c r="K187" s="4">
        <f>IF(I187=J187,"Match","MISMATCH")</f>
        <v/>
      </c>
      <c r="L187" s="4">
        <f>Provider_Source!I187</f>
        <v/>
      </c>
      <c r="M187" s="4">
        <f>XLOOKUP($A187,Directory_Output!$A$2:$A$201,Directory_Output!$I$2:$I$201,"NOT FOUND")</f>
        <v/>
      </c>
      <c r="N187" s="4">
        <f>IF(L187=M187,"Match","MISMATCH")</f>
        <v/>
      </c>
      <c r="O187" s="4">
        <f>Provider_Source!J187</f>
        <v/>
      </c>
      <c r="P187" s="4">
        <f>XLOOKUP($A187,Directory_Output!$A$2:$A$201,Directory_Output!$J$2:$J$201,"NOT FOUND")</f>
        <v/>
      </c>
      <c r="Q187" s="4">
        <f>IF(O187=P187,"Match","MISMATCH")</f>
        <v/>
      </c>
      <c r="R187" s="4">
        <f>COUNTIF(E187:Q187,"MISMATCH")</f>
        <v/>
      </c>
      <c r="S187" s="4">
        <f>IF(R187=0,"Clean","Needs Review")</f>
        <v/>
      </c>
    </row>
    <row r="188">
      <c r="A188" s="4">
        <f>Provider_Source!A188</f>
        <v/>
      </c>
      <c r="B188" s="4">
        <f>Provider_Source!B188</f>
        <v/>
      </c>
      <c r="C188" s="4">
        <f>Provider_Source!H188</f>
        <v/>
      </c>
      <c r="D188" s="4">
        <f>XLOOKUP($A188,Directory_Output!$A$2:$A$201,Directory_Output!$H$2:$H$201,"NOT FOUND")</f>
        <v/>
      </c>
      <c r="E188" s="4">
        <f>IF(C188=D188,"Match","MISMATCH")</f>
        <v/>
      </c>
      <c r="F188" s="4">
        <f>Provider_Source!D188</f>
        <v/>
      </c>
      <c r="G188" s="4">
        <f>XLOOKUP($A188,Directory_Output!$A$2:$A$201,Directory_Output!$D$2:$D$201,"NOT FOUND")</f>
        <v/>
      </c>
      <c r="H188" s="4">
        <f>IF(F188=G188,"Match","MISMATCH")</f>
        <v/>
      </c>
      <c r="I188" s="4">
        <f>Provider_Source!C188</f>
        <v/>
      </c>
      <c r="J188" s="4">
        <f>XLOOKUP($A188,Directory_Output!$A$2:$A$201,Directory_Output!$C$2:$C$201,"NOT FOUND")</f>
        <v/>
      </c>
      <c r="K188" s="4">
        <f>IF(I188=J188,"Match","MISMATCH")</f>
        <v/>
      </c>
      <c r="L188" s="4">
        <f>Provider_Source!I188</f>
        <v/>
      </c>
      <c r="M188" s="4">
        <f>XLOOKUP($A188,Directory_Output!$A$2:$A$201,Directory_Output!$I$2:$I$201,"NOT FOUND")</f>
        <v/>
      </c>
      <c r="N188" s="4">
        <f>IF(L188=M188,"Match","MISMATCH")</f>
        <v/>
      </c>
      <c r="O188" s="4">
        <f>Provider_Source!J188</f>
        <v/>
      </c>
      <c r="P188" s="4">
        <f>XLOOKUP($A188,Directory_Output!$A$2:$A$201,Directory_Output!$J$2:$J$201,"NOT FOUND")</f>
        <v/>
      </c>
      <c r="Q188" s="4">
        <f>IF(O188=P188,"Match","MISMATCH")</f>
        <v/>
      </c>
      <c r="R188" s="4">
        <f>COUNTIF(E188:Q188,"MISMATCH")</f>
        <v/>
      </c>
      <c r="S188" s="4">
        <f>IF(R188=0,"Clean","Needs Review")</f>
        <v/>
      </c>
    </row>
    <row r="189">
      <c r="A189" s="4">
        <f>Provider_Source!A189</f>
        <v/>
      </c>
      <c r="B189" s="4">
        <f>Provider_Source!B189</f>
        <v/>
      </c>
      <c r="C189" s="4">
        <f>Provider_Source!H189</f>
        <v/>
      </c>
      <c r="D189" s="4">
        <f>XLOOKUP($A189,Directory_Output!$A$2:$A$201,Directory_Output!$H$2:$H$201,"NOT FOUND")</f>
        <v/>
      </c>
      <c r="E189" s="4">
        <f>IF(C189=D189,"Match","MISMATCH")</f>
        <v/>
      </c>
      <c r="F189" s="4">
        <f>Provider_Source!D189</f>
        <v/>
      </c>
      <c r="G189" s="4">
        <f>XLOOKUP($A189,Directory_Output!$A$2:$A$201,Directory_Output!$D$2:$D$201,"NOT FOUND")</f>
        <v/>
      </c>
      <c r="H189" s="4">
        <f>IF(F189=G189,"Match","MISMATCH")</f>
        <v/>
      </c>
      <c r="I189" s="4">
        <f>Provider_Source!C189</f>
        <v/>
      </c>
      <c r="J189" s="4">
        <f>XLOOKUP($A189,Directory_Output!$A$2:$A$201,Directory_Output!$C$2:$C$201,"NOT FOUND")</f>
        <v/>
      </c>
      <c r="K189" s="4">
        <f>IF(I189=J189,"Match","MISMATCH")</f>
        <v/>
      </c>
      <c r="L189" s="4">
        <f>Provider_Source!I189</f>
        <v/>
      </c>
      <c r="M189" s="4">
        <f>XLOOKUP($A189,Directory_Output!$A$2:$A$201,Directory_Output!$I$2:$I$201,"NOT FOUND")</f>
        <v/>
      </c>
      <c r="N189" s="4">
        <f>IF(L189=M189,"Match","MISMATCH")</f>
        <v/>
      </c>
      <c r="O189" s="4">
        <f>Provider_Source!J189</f>
        <v/>
      </c>
      <c r="P189" s="4">
        <f>XLOOKUP($A189,Directory_Output!$A$2:$A$201,Directory_Output!$J$2:$J$201,"NOT FOUND")</f>
        <v/>
      </c>
      <c r="Q189" s="4">
        <f>IF(O189=P189,"Match","MISMATCH")</f>
        <v/>
      </c>
      <c r="R189" s="4">
        <f>COUNTIF(E189:Q189,"MISMATCH")</f>
        <v/>
      </c>
      <c r="S189" s="4">
        <f>IF(R189=0,"Clean","Needs Review")</f>
        <v/>
      </c>
    </row>
    <row r="190">
      <c r="A190" s="4">
        <f>Provider_Source!A190</f>
        <v/>
      </c>
      <c r="B190" s="4">
        <f>Provider_Source!B190</f>
        <v/>
      </c>
      <c r="C190" s="4">
        <f>Provider_Source!H190</f>
        <v/>
      </c>
      <c r="D190" s="4">
        <f>XLOOKUP($A190,Directory_Output!$A$2:$A$201,Directory_Output!$H$2:$H$201,"NOT FOUND")</f>
        <v/>
      </c>
      <c r="E190" s="4">
        <f>IF(C190=D190,"Match","MISMATCH")</f>
        <v/>
      </c>
      <c r="F190" s="4">
        <f>Provider_Source!D190</f>
        <v/>
      </c>
      <c r="G190" s="4">
        <f>XLOOKUP($A190,Directory_Output!$A$2:$A$201,Directory_Output!$D$2:$D$201,"NOT FOUND")</f>
        <v/>
      </c>
      <c r="H190" s="4">
        <f>IF(F190=G190,"Match","MISMATCH")</f>
        <v/>
      </c>
      <c r="I190" s="4">
        <f>Provider_Source!C190</f>
        <v/>
      </c>
      <c r="J190" s="4">
        <f>XLOOKUP($A190,Directory_Output!$A$2:$A$201,Directory_Output!$C$2:$C$201,"NOT FOUND")</f>
        <v/>
      </c>
      <c r="K190" s="4">
        <f>IF(I190=J190,"Match","MISMATCH")</f>
        <v/>
      </c>
      <c r="L190" s="4">
        <f>Provider_Source!I190</f>
        <v/>
      </c>
      <c r="M190" s="4">
        <f>XLOOKUP($A190,Directory_Output!$A$2:$A$201,Directory_Output!$I$2:$I$201,"NOT FOUND")</f>
        <v/>
      </c>
      <c r="N190" s="4">
        <f>IF(L190=M190,"Match","MISMATCH")</f>
        <v/>
      </c>
      <c r="O190" s="4">
        <f>Provider_Source!J190</f>
        <v/>
      </c>
      <c r="P190" s="4">
        <f>XLOOKUP($A190,Directory_Output!$A$2:$A$201,Directory_Output!$J$2:$J$201,"NOT FOUND")</f>
        <v/>
      </c>
      <c r="Q190" s="4">
        <f>IF(O190=P190,"Match","MISMATCH")</f>
        <v/>
      </c>
      <c r="R190" s="4">
        <f>COUNTIF(E190:Q190,"MISMATCH")</f>
        <v/>
      </c>
      <c r="S190" s="4">
        <f>IF(R190=0,"Clean","Needs Review")</f>
        <v/>
      </c>
    </row>
    <row r="191">
      <c r="A191" s="4">
        <f>Provider_Source!A191</f>
        <v/>
      </c>
      <c r="B191" s="4">
        <f>Provider_Source!B191</f>
        <v/>
      </c>
      <c r="C191" s="4">
        <f>Provider_Source!H191</f>
        <v/>
      </c>
      <c r="D191" s="4">
        <f>XLOOKUP($A191,Directory_Output!$A$2:$A$201,Directory_Output!$H$2:$H$201,"NOT FOUND")</f>
        <v/>
      </c>
      <c r="E191" s="4">
        <f>IF(C191=D191,"Match","MISMATCH")</f>
        <v/>
      </c>
      <c r="F191" s="4">
        <f>Provider_Source!D191</f>
        <v/>
      </c>
      <c r="G191" s="4">
        <f>XLOOKUP($A191,Directory_Output!$A$2:$A$201,Directory_Output!$D$2:$D$201,"NOT FOUND")</f>
        <v/>
      </c>
      <c r="H191" s="4">
        <f>IF(F191=G191,"Match","MISMATCH")</f>
        <v/>
      </c>
      <c r="I191" s="4">
        <f>Provider_Source!C191</f>
        <v/>
      </c>
      <c r="J191" s="4">
        <f>XLOOKUP($A191,Directory_Output!$A$2:$A$201,Directory_Output!$C$2:$C$201,"NOT FOUND")</f>
        <v/>
      </c>
      <c r="K191" s="4">
        <f>IF(I191=J191,"Match","MISMATCH")</f>
        <v/>
      </c>
      <c r="L191" s="4">
        <f>Provider_Source!I191</f>
        <v/>
      </c>
      <c r="M191" s="4">
        <f>XLOOKUP($A191,Directory_Output!$A$2:$A$201,Directory_Output!$I$2:$I$201,"NOT FOUND")</f>
        <v/>
      </c>
      <c r="N191" s="4">
        <f>IF(L191=M191,"Match","MISMATCH")</f>
        <v/>
      </c>
      <c r="O191" s="4">
        <f>Provider_Source!J191</f>
        <v/>
      </c>
      <c r="P191" s="4">
        <f>XLOOKUP($A191,Directory_Output!$A$2:$A$201,Directory_Output!$J$2:$J$201,"NOT FOUND")</f>
        <v/>
      </c>
      <c r="Q191" s="4">
        <f>IF(O191=P191,"Match","MISMATCH")</f>
        <v/>
      </c>
      <c r="R191" s="4">
        <f>COUNTIF(E191:Q191,"MISMATCH")</f>
        <v/>
      </c>
      <c r="S191" s="4">
        <f>IF(R191=0,"Clean","Needs Review")</f>
        <v/>
      </c>
    </row>
    <row r="192">
      <c r="A192" s="4">
        <f>Provider_Source!A192</f>
        <v/>
      </c>
      <c r="B192" s="4">
        <f>Provider_Source!B192</f>
        <v/>
      </c>
      <c r="C192" s="4">
        <f>Provider_Source!H192</f>
        <v/>
      </c>
      <c r="D192" s="4">
        <f>XLOOKUP($A192,Directory_Output!$A$2:$A$201,Directory_Output!$H$2:$H$201,"NOT FOUND")</f>
        <v/>
      </c>
      <c r="E192" s="4">
        <f>IF(C192=D192,"Match","MISMATCH")</f>
        <v/>
      </c>
      <c r="F192" s="4">
        <f>Provider_Source!D192</f>
        <v/>
      </c>
      <c r="G192" s="4">
        <f>XLOOKUP($A192,Directory_Output!$A$2:$A$201,Directory_Output!$D$2:$D$201,"NOT FOUND")</f>
        <v/>
      </c>
      <c r="H192" s="4">
        <f>IF(F192=G192,"Match","MISMATCH")</f>
        <v/>
      </c>
      <c r="I192" s="4">
        <f>Provider_Source!C192</f>
        <v/>
      </c>
      <c r="J192" s="4">
        <f>XLOOKUP($A192,Directory_Output!$A$2:$A$201,Directory_Output!$C$2:$C$201,"NOT FOUND")</f>
        <v/>
      </c>
      <c r="K192" s="4">
        <f>IF(I192=J192,"Match","MISMATCH")</f>
        <v/>
      </c>
      <c r="L192" s="4">
        <f>Provider_Source!I192</f>
        <v/>
      </c>
      <c r="M192" s="4">
        <f>XLOOKUP($A192,Directory_Output!$A$2:$A$201,Directory_Output!$I$2:$I$201,"NOT FOUND")</f>
        <v/>
      </c>
      <c r="N192" s="4">
        <f>IF(L192=M192,"Match","MISMATCH")</f>
        <v/>
      </c>
      <c r="O192" s="4">
        <f>Provider_Source!J192</f>
        <v/>
      </c>
      <c r="P192" s="4">
        <f>XLOOKUP($A192,Directory_Output!$A$2:$A$201,Directory_Output!$J$2:$J$201,"NOT FOUND")</f>
        <v/>
      </c>
      <c r="Q192" s="4">
        <f>IF(O192=P192,"Match","MISMATCH")</f>
        <v/>
      </c>
      <c r="R192" s="4">
        <f>COUNTIF(E192:Q192,"MISMATCH")</f>
        <v/>
      </c>
      <c r="S192" s="4">
        <f>IF(R192=0,"Clean","Needs Review")</f>
        <v/>
      </c>
    </row>
    <row r="193">
      <c r="A193" s="4">
        <f>Provider_Source!A193</f>
        <v/>
      </c>
      <c r="B193" s="4">
        <f>Provider_Source!B193</f>
        <v/>
      </c>
      <c r="C193" s="4">
        <f>Provider_Source!H193</f>
        <v/>
      </c>
      <c r="D193" s="4">
        <f>XLOOKUP($A193,Directory_Output!$A$2:$A$201,Directory_Output!$H$2:$H$201,"NOT FOUND")</f>
        <v/>
      </c>
      <c r="E193" s="4">
        <f>IF(C193=D193,"Match","MISMATCH")</f>
        <v/>
      </c>
      <c r="F193" s="4">
        <f>Provider_Source!D193</f>
        <v/>
      </c>
      <c r="G193" s="4">
        <f>XLOOKUP($A193,Directory_Output!$A$2:$A$201,Directory_Output!$D$2:$D$201,"NOT FOUND")</f>
        <v/>
      </c>
      <c r="H193" s="4">
        <f>IF(F193=G193,"Match","MISMATCH")</f>
        <v/>
      </c>
      <c r="I193" s="4">
        <f>Provider_Source!C193</f>
        <v/>
      </c>
      <c r="J193" s="4">
        <f>XLOOKUP($A193,Directory_Output!$A$2:$A$201,Directory_Output!$C$2:$C$201,"NOT FOUND")</f>
        <v/>
      </c>
      <c r="K193" s="4">
        <f>IF(I193=J193,"Match","MISMATCH")</f>
        <v/>
      </c>
      <c r="L193" s="4">
        <f>Provider_Source!I193</f>
        <v/>
      </c>
      <c r="M193" s="4">
        <f>XLOOKUP($A193,Directory_Output!$A$2:$A$201,Directory_Output!$I$2:$I$201,"NOT FOUND")</f>
        <v/>
      </c>
      <c r="N193" s="4">
        <f>IF(L193=M193,"Match","MISMATCH")</f>
        <v/>
      </c>
      <c r="O193" s="4">
        <f>Provider_Source!J193</f>
        <v/>
      </c>
      <c r="P193" s="4">
        <f>XLOOKUP($A193,Directory_Output!$A$2:$A$201,Directory_Output!$J$2:$J$201,"NOT FOUND")</f>
        <v/>
      </c>
      <c r="Q193" s="4">
        <f>IF(O193=P193,"Match","MISMATCH")</f>
        <v/>
      </c>
      <c r="R193" s="4">
        <f>COUNTIF(E193:Q193,"MISMATCH")</f>
        <v/>
      </c>
      <c r="S193" s="4">
        <f>IF(R193=0,"Clean","Needs Review")</f>
        <v/>
      </c>
    </row>
    <row r="194">
      <c r="A194" s="4">
        <f>Provider_Source!A194</f>
        <v/>
      </c>
      <c r="B194" s="4">
        <f>Provider_Source!B194</f>
        <v/>
      </c>
      <c r="C194" s="4">
        <f>Provider_Source!H194</f>
        <v/>
      </c>
      <c r="D194" s="4">
        <f>XLOOKUP($A194,Directory_Output!$A$2:$A$201,Directory_Output!$H$2:$H$201,"NOT FOUND")</f>
        <v/>
      </c>
      <c r="E194" s="4">
        <f>IF(C194=D194,"Match","MISMATCH")</f>
        <v/>
      </c>
      <c r="F194" s="4">
        <f>Provider_Source!D194</f>
        <v/>
      </c>
      <c r="G194" s="4">
        <f>XLOOKUP($A194,Directory_Output!$A$2:$A$201,Directory_Output!$D$2:$D$201,"NOT FOUND")</f>
        <v/>
      </c>
      <c r="H194" s="4">
        <f>IF(F194=G194,"Match","MISMATCH")</f>
        <v/>
      </c>
      <c r="I194" s="4">
        <f>Provider_Source!C194</f>
        <v/>
      </c>
      <c r="J194" s="4">
        <f>XLOOKUP($A194,Directory_Output!$A$2:$A$201,Directory_Output!$C$2:$C$201,"NOT FOUND")</f>
        <v/>
      </c>
      <c r="K194" s="4">
        <f>IF(I194=J194,"Match","MISMATCH")</f>
        <v/>
      </c>
      <c r="L194" s="4">
        <f>Provider_Source!I194</f>
        <v/>
      </c>
      <c r="M194" s="4">
        <f>XLOOKUP($A194,Directory_Output!$A$2:$A$201,Directory_Output!$I$2:$I$201,"NOT FOUND")</f>
        <v/>
      </c>
      <c r="N194" s="4">
        <f>IF(L194=M194,"Match","MISMATCH")</f>
        <v/>
      </c>
      <c r="O194" s="4">
        <f>Provider_Source!J194</f>
        <v/>
      </c>
      <c r="P194" s="4">
        <f>XLOOKUP($A194,Directory_Output!$A$2:$A$201,Directory_Output!$J$2:$J$201,"NOT FOUND")</f>
        <v/>
      </c>
      <c r="Q194" s="4">
        <f>IF(O194=P194,"Match","MISMATCH")</f>
        <v/>
      </c>
      <c r="R194" s="4">
        <f>COUNTIF(E194:Q194,"MISMATCH")</f>
        <v/>
      </c>
      <c r="S194" s="4">
        <f>IF(R194=0,"Clean","Needs Review")</f>
        <v/>
      </c>
    </row>
    <row r="195">
      <c r="A195" s="4">
        <f>Provider_Source!A195</f>
        <v/>
      </c>
      <c r="B195" s="4">
        <f>Provider_Source!B195</f>
        <v/>
      </c>
      <c r="C195" s="4">
        <f>Provider_Source!H195</f>
        <v/>
      </c>
      <c r="D195" s="4">
        <f>XLOOKUP($A195,Directory_Output!$A$2:$A$201,Directory_Output!$H$2:$H$201,"NOT FOUND")</f>
        <v/>
      </c>
      <c r="E195" s="4">
        <f>IF(C195=D195,"Match","MISMATCH")</f>
        <v/>
      </c>
      <c r="F195" s="4">
        <f>Provider_Source!D195</f>
        <v/>
      </c>
      <c r="G195" s="4">
        <f>XLOOKUP($A195,Directory_Output!$A$2:$A$201,Directory_Output!$D$2:$D$201,"NOT FOUND")</f>
        <v/>
      </c>
      <c r="H195" s="4">
        <f>IF(F195=G195,"Match","MISMATCH")</f>
        <v/>
      </c>
      <c r="I195" s="4">
        <f>Provider_Source!C195</f>
        <v/>
      </c>
      <c r="J195" s="4">
        <f>XLOOKUP($A195,Directory_Output!$A$2:$A$201,Directory_Output!$C$2:$C$201,"NOT FOUND")</f>
        <v/>
      </c>
      <c r="K195" s="4">
        <f>IF(I195=J195,"Match","MISMATCH")</f>
        <v/>
      </c>
      <c r="L195" s="4">
        <f>Provider_Source!I195</f>
        <v/>
      </c>
      <c r="M195" s="4">
        <f>XLOOKUP($A195,Directory_Output!$A$2:$A$201,Directory_Output!$I$2:$I$201,"NOT FOUND")</f>
        <v/>
      </c>
      <c r="N195" s="4">
        <f>IF(L195=M195,"Match","MISMATCH")</f>
        <v/>
      </c>
      <c r="O195" s="4">
        <f>Provider_Source!J195</f>
        <v/>
      </c>
      <c r="P195" s="4">
        <f>XLOOKUP($A195,Directory_Output!$A$2:$A$201,Directory_Output!$J$2:$J$201,"NOT FOUND")</f>
        <v/>
      </c>
      <c r="Q195" s="4">
        <f>IF(O195=P195,"Match","MISMATCH")</f>
        <v/>
      </c>
      <c r="R195" s="4">
        <f>COUNTIF(E195:Q195,"MISMATCH")</f>
        <v/>
      </c>
      <c r="S195" s="4">
        <f>IF(R195=0,"Clean","Needs Review")</f>
        <v/>
      </c>
    </row>
    <row r="196">
      <c r="A196" s="4">
        <f>Provider_Source!A196</f>
        <v/>
      </c>
      <c r="B196" s="4">
        <f>Provider_Source!B196</f>
        <v/>
      </c>
      <c r="C196" s="4">
        <f>Provider_Source!H196</f>
        <v/>
      </c>
      <c r="D196" s="4">
        <f>XLOOKUP($A196,Directory_Output!$A$2:$A$201,Directory_Output!$H$2:$H$201,"NOT FOUND")</f>
        <v/>
      </c>
      <c r="E196" s="4">
        <f>IF(C196=D196,"Match","MISMATCH")</f>
        <v/>
      </c>
      <c r="F196" s="4">
        <f>Provider_Source!D196</f>
        <v/>
      </c>
      <c r="G196" s="4">
        <f>XLOOKUP($A196,Directory_Output!$A$2:$A$201,Directory_Output!$D$2:$D$201,"NOT FOUND")</f>
        <v/>
      </c>
      <c r="H196" s="4">
        <f>IF(F196=G196,"Match","MISMATCH")</f>
        <v/>
      </c>
      <c r="I196" s="4">
        <f>Provider_Source!C196</f>
        <v/>
      </c>
      <c r="J196" s="4">
        <f>XLOOKUP($A196,Directory_Output!$A$2:$A$201,Directory_Output!$C$2:$C$201,"NOT FOUND")</f>
        <v/>
      </c>
      <c r="K196" s="4">
        <f>IF(I196=J196,"Match","MISMATCH")</f>
        <v/>
      </c>
      <c r="L196" s="4">
        <f>Provider_Source!I196</f>
        <v/>
      </c>
      <c r="M196" s="4">
        <f>XLOOKUP($A196,Directory_Output!$A$2:$A$201,Directory_Output!$I$2:$I$201,"NOT FOUND")</f>
        <v/>
      </c>
      <c r="N196" s="4">
        <f>IF(L196=M196,"Match","MISMATCH")</f>
        <v/>
      </c>
      <c r="O196" s="4">
        <f>Provider_Source!J196</f>
        <v/>
      </c>
      <c r="P196" s="4">
        <f>XLOOKUP($A196,Directory_Output!$A$2:$A$201,Directory_Output!$J$2:$J$201,"NOT FOUND")</f>
        <v/>
      </c>
      <c r="Q196" s="4">
        <f>IF(O196=P196,"Match","MISMATCH")</f>
        <v/>
      </c>
      <c r="R196" s="4">
        <f>COUNTIF(E196:Q196,"MISMATCH")</f>
        <v/>
      </c>
      <c r="S196" s="4">
        <f>IF(R196=0,"Clean","Needs Review")</f>
        <v/>
      </c>
    </row>
    <row r="197">
      <c r="A197" s="4">
        <f>Provider_Source!A197</f>
        <v/>
      </c>
      <c r="B197" s="4">
        <f>Provider_Source!B197</f>
        <v/>
      </c>
      <c r="C197" s="4">
        <f>Provider_Source!H197</f>
        <v/>
      </c>
      <c r="D197" s="4">
        <f>XLOOKUP($A197,Directory_Output!$A$2:$A$201,Directory_Output!$H$2:$H$201,"NOT FOUND")</f>
        <v/>
      </c>
      <c r="E197" s="4">
        <f>IF(C197=D197,"Match","MISMATCH")</f>
        <v/>
      </c>
      <c r="F197" s="4">
        <f>Provider_Source!D197</f>
        <v/>
      </c>
      <c r="G197" s="4">
        <f>XLOOKUP($A197,Directory_Output!$A$2:$A$201,Directory_Output!$D$2:$D$201,"NOT FOUND")</f>
        <v/>
      </c>
      <c r="H197" s="4">
        <f>IF(F197=G197,"Match","MISMATCH")</f>
        <v/>
      </c>
      <c r="I197" s="4">
        <f>Provider_Source!C197</f>
        <v/>
      </c>
      <c r="J197" s="4">
        <f>XLOOKUP($A197,Directory_Output!$A$2:$A$201,Directory_Output!$C$2:$C$201,"NOT FOUND")</f>
        <v/>
      </c>
      <c r="K197" s="4">
        <f>IF(I197=J197,"Match","MISMATCH")</f>
        <v/>
      </c>
      <c r="L197" s="4">
        <f>Provider_Source!I197</f>
        <v/>
      </c>
      <c r="M197" s="4">
        <f>XLOOKUP($A197,Directory_Output!$A$2:$A$201,Directory_Output!$I$2:$I$201,"NOT FOUND")</f>
        <v/>
      </c>
      <c r="N197" s="4">
        <f>IF(L197=M197,"Match","MISMATCH")</f>
        <v/>
      </c>
      <c r="O197" s="4">
        <f>Provider_Source!J197</f>
        <v/>
      </c>
      <c r="P197" s="4">
        <f>XLOOKUP($A197,Directory_Output!$A$2:$A$201,Directory_Output!$J$2:$J$201,"NOT FOUND")</f>
        <v/>
      </c>
      <c r="Q197" s="4">
        <f>IF(O197=P197,"Match","MISMATCH")</f>
        <v/>
      </c>
      <c r="R197" s="4">
        <f>COUNTIF(E197:Q197,"MISMATCH")</f>
        <v/>
      </c>
      <c r="S197" s="4">
        <f>IF(R197=0,"Clean","Needs Review")</f>
        <v/>
      </c>
    </row>
    <row r="198">
      <c r="A198" s="4">
        <f>Provider_Source!A198</f>
        <v/>
      </c>
      <c r="B198" s="4">
        <f>Provider_Source!B198</f>
        <v/>
      </c>
      <c r="C198" s="4">
        <f>Provider_Source!H198</f>
        <v/>
      </c>
      <c r="D198" s="4">
        <f>XLOOKUP($A198,Directory_Output!$A$2:$A$201,Directory_Output!$H$2:$H$201,"NOT FOUND")</f>
        <v/>
      </c>
      <c r="E198" s="4">
        <f>IF(C198=D198,"Match","MISMATCH")</f>
        <v/>
      </c>
      <c r="F198" s="4">
        <f>Provider_Source!D198</f>
        <v/>
      </c>
      <c r="G198" s="4">
        <f>XLOOKUP($A198,Directory_Output!$A$2:$A$201,Directory_Output!$D$2:$D$201,"NOT FOUND")</f>
        <v/>
      </c>
      <c r="H198" s="4">
        <f>IF(F198=G198,"Match","MISMATCH")</f>
        <v/>
      </c>
      <c r="I198" s="4">
        <f>Provider_Source!C198</f>
        <v/>
      </c>
      <c r="J198" s="4">
        <f>XLOOKUP($A198,Directory_Output!$A$2:$A$201,Directory_Output!$C$2:$C$201,"NOT FOUND")</f>
        <v/>
      </c>
      <c r="K198" s="4">
        <f>IF(I198=J198,"Match","MISMATCH")</f>
        <v/>
      </c>
      <c r="L198" s="4">
        <f>Provider_Source!I198</f>
        <v/>
      </c>
      <c r="M198" s="4">
        <f>XLOOKUP($A198,Directory_Output!$A$2:$A$201,Directory_Output!$I$2:$I$201,"NOT FOUND")</f>
        <v/>
      </c>
      <c r="N198" s="4">
        <f>IF(L198=M198,"Match","MISMATCH")</f>
        <v/>
      </c>
      <c r="O198" s="4">
        <f>Provider_Source!J198</f>
        <v/>
      </c>
      <c r="P198" s="4">
        <f>XLOOKUP($A198,Directory_Output!$A$2:$A$201,Directory_Output!$J$2:$J$201,"NOT FOUND")</f>
        <v/>
      </c>
      <c r="Q198" s="4">
        <f>IF(O198=P198,"Match","MISMATCH")</f>
        <v/>
      </c>
      <c r="R198" s="4">
        <f>COUNTIF(E198:Q198,"MISMATCH")</f>
        <v/>
      </c>
      <c r="S198" s="4">
        <f>IF(R198=0,"Clean","Needs Review")</f>
        <v/>
      </c>
    </row>
    <row r="199">
      <c r="A199" s="4">
        <f>Provider_Source!A199</f>
        <v/>
      </c>
      <c r="B199" s="4">
        <f>Provider_Source!B199</f>
        <v/>
      </c>
      <c r="C199" s="4">
        <f>Provider_Source!H199</f>
        <v/>
      </c>
      <c r="D199" s="4">
        <f>XLOOKUP($A199,Directory_Output!$A$2:$A$201,Directory_Output!$H$2:$H$201,"NOT FOUND")</f>
        <v/>
      </c>
      <c r="E199" s="4">
        <f>IF(C199=D199,"Match","MISMATCH")</f>
        <v/>
      </c>
      <c r="F199" s="4">
        <f>Provider_Source!D199</f>
        <v/>
      </c>
      <c r="G199" s="4">
        <f>XLOOKUP($A199,Directory_Output!$A$2:$A$201,Directory_Output!$D$2:$D$201,"NOT FOUND")</f>
        <v/>
      </c>
      <c r="H199" s="4">
        <f>IF(F199=G199,"Match","MISMATCH")</f>
        <v/>
      </c>
      <c r="I199" s="4">
        <f>Provider_Source!C199</f>
        <v/>
      </c>
      <c r="J199" s="4">
        <f>XLOOKUP($A199,Directory_Output!$A$2:$A$201,Directory_Output!$C$2:$C$201,"NOT FOUND")</f>
        <v/>
      </c>
      <c r="K199" s="4">
        <f>IF(I199=J199,"Match","MISMATCH")</f>
        <v/>
      </c>
      <c r="L199" s="4">
        <f>Provider_Source!I199</f>
        <v/>
      </c>
      <c r="M199" s="4">
        <f>XLOOKUP($A199,Directory_Output!$A$2:$A$201,Directory_Output!$I$2:$I$201,"NOT FOUND")</f>
        <v/>
      </c>
      <c r="N199" s="4">
        <f>IF(L199=M199,"Match","MISMATCH")</f>
        <v/>
      </c>
      <c r="O199" s="4">
        <f>Provider_Source!J199</f>
        <v/>
      </c>
      <c r="P199" s="4">
        <f>XLOOKUP($A199,Directory_Output!$A$2:$A$201,Directory_Output!$J$2:$J$201,"NOT FOUND")</f>
        <v/>
      </c>
      <c r="Q199" s="4">
        <f>IF(O199=P199,"Match","MISMATCH")</f>
        <v/>
      </c>
      <c r="R199" s="4">
        <f>COUNTIF(E199:Q199,"MISMATCH")</f>
        <v/>
      </c>
      <c r="S199" s="4">
        <f>IF(R199=0,"Clean","Needs Review")</f>
        <v/>
      </c>
    </row>
    <row r="200">
      <c r="A200" s="4">
        <f>Provider_Source!A200</f>
        <v/>
      </c>
      <c r="B200" s="4">
        <f>Provider_Source!B200</f>
        <v/>
      </c>
      <c r="C200" s="4">
        <f>Provider_Source!H200</f>
        <v/>
      </c>
      <c r="D200" s="4">
        <f>XLOOKUP($A200,Directory_Output!$A$2:$A$201,Directory_Output!$H$2:$H$201,"NOT FOUND")</f>
        <v/>
      </c>
      <c r="E200" s="4">
        <f>IF(C200=D200,"Match","MISMATCH")</f>
        <v/>
      </c>
      <c r="F200" s="4">
        <f>Provider_Source!D200</f>
        <v/>
      </c>
      <c r="G200" s="4">
        <f>XLOOKUP($A200,Directory_Output!$A$2:$A$201,Directory_Output!$D$2:$D$201,"NOT FOUND")</f>
        <v/>
      </c>
      <c r="H200" s="4">
        <f>IF(F200=G200,"Match","MISMATCH")</f>
        <v/>
      </c>
      <c r="I200" s="4">
        <f>Provider_Source!C200</f>
        <v/>
      </c>
      <c r="J200" s="4">
        <f>XLOOKUP($A200,Directory_Output!$A$2:$A$201,Directory_Output!$C$2:$C$201,"NOT FOUND")</f>
        <v/>
      </c>
      <c r="K200" s="4">
        <f>IF(I200=J200,"Match","MISMATCH")</f>
        <v/>
      </c>
      <c r="L200" s="4">
        <f>Provider_Source!I200</f>
        <v/>
      </c>
      <c r="M200" s="4">
        <f>XLOOKUP($A200,Directory_Output!$A$2:$A$201,Directory_Output!$I$2:$I$201,"NOT FOUND")</f>
        <v/>
      </c>
      <c r="N200" s="4">
        <f>IF(L200=M200,"Match","MISMATCH")</f>
        <v/>
      </c>
      <c r="O200" s="4">
        <f>Provider_Source!J200</f>
        <v/>
      </c>
      <c r="P200" s="4">
        <f>XLOOKUP($A200,Directory_Output!$A$2:$A$201,Directory_Output!$J$2:$J$201,"NOT FOUND")</f>
        <v/>
      </c>
      <c r="Q200" s="4">
        <f>IF(O200=P200,"Match","MISMATCH")</f>
        <v/>
      </c>
      <c r="R200" s="4">
        <f>COUNTIF(E200:Q200,"MISMATCH")</f>
        <v/>
      </c>
      <c r="S200" s="4">
        <f>IF(R200=0,"Clean","Needs Review")</f>
        <v/>
      </c>
    </row>
    <row r="201">
      <c r="A201" s="4">
        <f>Provider_Source!A201</f>
        <v/>
      </c>
      <c r="B201" s="4">
        <f>Provider_Source!B201</f>
        <v/>
      </c>
      <c r="C201" s="4">
        <f>Provider_Source!H201</f>
        <v/>
      </c>
      <c r="D201" s="4">
        <f>XLOOKUP($A201,Directory_Output!$A$2:$A$201,Directory_Output!$H$2:$H$201,"NOT FOUND")</f>
        <v/>
      </c>
      <c r="E201" s="4">
        <f>IF(C201=D201,"Match","MISMATCH")</f>
        <v/>
      </c>
      <c r="F201" s="4">
        <f>Provider_Source!D201</f>
        <v/>
      </c>
      <c r="G201" s="4">
        <f>XLOOKUP($A201,Directory_Output!$A$2:$A$201,Directory_Output!$D$2:$D$201,"NOT FOUND")</f>
        <v/>
      </c>
      <c r="H201" s="4">
        <f>IF(F201=G201,"Match","MISMATCH")</f>
        <v/>
      </c>
      <c r="I201" s="4">
        <f>Provider_Source!C201</f>
        <v/>
      </c>
      <c r="J201" s="4">
        <f>XLOOKUP($A201,Directory_Output!$A$2:$A$201,Directory_Output!$C$2:$C$201,"NOT FOUND")</f>
        <v/>
      </c>
      <c r="K201" s="4">
        <f>IF(I201=J201,"Match","MISMATCH")</f>
        <v/>
      </c>
      <c r="L201" s="4">
        <f>Provider_Source!I201</f>
        <v/>
      </c>
      <c r="M201" s="4">
        <f>XLOOKUP($A201,Directory_Output!$A$2:$A$201,Directory_Output!$I$2:$I$201,"NOT FOUND")</f>
        <v/>
      </c>
      <c r="N201" s="4">
        <f>IF(L201=M201,"Match","MISMATCH")</f>
        <v/>
      </c>
      <c r="O201" s="4">
        <f>Provider_Source!J201</f>
        <v/>
      </c>
      <c r="P201" s="4">
        <f>XLOOKUP($A201,Directory_Output!$A$2:$A$201,Directory_Output!$J$2:$J$201,"NOT FOUND")</f>
        <v/>
      </c>
      <c r="Q201" s="4">
        <f>IF(O201=P201,"Match","MISMATCH")</f>
        <v/>
      </c>
      <c r="R201" s="4">
        <f>COUNTIF(E201:Q201,"MISMATCH")</f>
        <v/>
      </c>
      <c r="S201" s="4">
        <f>IF(R201=0,"Clean","Needs Review")</f>
        <v/>
      </c>
    </row>
  </sheetData>
  <conditionalFormatting sqref="E2:E201">
    <cfRule type="cellIs" priority="1" operator="equal" dxfId="0">
      <formula>"MISMATCH"</formula>
    </cfRule>
  </conditionalFormatting>
  <conditionalFormatting sqref="H2:H201">
    <cfRule type="cellIs" priority="2" operator="equal" dxfId="0">
      <formula>"MISMATCH"</formula>
    </cfRule>
  </conditionalFormatting>
  <conditionalFormatting sqref="K2:K201">
    <cfRule type="cellIs" priority="3" operator="equal" dxfId="0">
      <formula>"MISMATCH"</formula>
    </cfRule>
  </conditionalFormatting>
  <conditionalFormatting sqref="N2:N201">
    <cfRule type="cellIs" priority="4" operator="equal" dxfId="0">
      <formula>"MISMATCH"</formula>
    </cfRule>
  </conditionalFormatting>
  <conditionalFormatting sqref="Q2:Q201">
    <cfRule type="cellIs" priority="5" operator="equal" dxfId="0">
      <formula>"MISMATCH"</formula>
    </cfRule>
  </conditionalFormatting>
  <conditionalFormatting sqref="S2:S201">
    <cfRule type="cellIs" priority="6" operator="equal" dxfId="1">
      <formula>"Needs Review"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</cols>
  <sheetData>
    <row r="1">
      <c r="A1" s="5" t="inlineStr">
        <is>
          <t>Directory Accuracy Audit — Summary</t>
        </is>
      </c>
    </row>
    <row r="3">
      <c r="A3" s="4" t="inlineStr">
        <is>
          <t>Total Provider Records</t>
        </is>
      </c>
      <c r="B3" s="6">
        <f>COUNTA(Audit!$A$2:$A$201)</f>
        <v/>
      </c>
    </row>
    <row r="4">
      <c r="A4" s="4" t="inlineStr">
        <is>
          <t>Records with &gt;=1 Discrepancy</t>
        </is>
      </c>
      <c r="B4" s="6">
        <f>COUNTIF(Audit!$S$2:$S$201,"Needs Review")</f>
        <v/>
      </c>
    </row>
    <row r="5">
      <c r="A5" s="4" t="inlineStr">
        <is>
          <t>Record-Level Accuracy Rate</t>
        </is>
      </c>
      <c r="B5" s="7">
        <f>1-B4/B3</f>
        <v/>
      </c>
    </row>
    <row r="6">
      <c r="A6" s="4" t="inlineStr">
        <is>
          <t>Total Field-Level Errors</t>
        </is>
      </c>
      <c r="B6" s="6">
        <f>COUNTIF(Audit!$E$2:$Q$201,"MISMATCH")</f>
        <v/>
      </c>
    </row>
    <row r="7">
      <c r="A7" s="4" t="inlineStr">
        <is>
          <t>CMS National Benchmark (records with &gt;=1 inaccuracy)</t>
        </is>
      </c>
      <c r="B7" s="8" t="n">
        <v>0.49</v>
      </c>
      <c r="C7" s="9" t="inlineStr">
        <is>
          <t>Source: CMS Online Provider Directory Review Report — ~49% of locations had at least one inaccuracy</t>
        </is>
      </c>
    </row>
    <row r="9">
      <c r="A9" s="3" t="inlineStr">
        <is>
          <t>Errors by Field</t>
        </is>
      </c>
    </row>
    <row r="10">
      <c r="A10" s="10" t="inlineStr">
        <is>
          <t>Field</t>
        </is>
      </c>
      <c r="B10" s="10" t="inlineStr">
        <is>
          <t>Mismatches</t>
        </is>
      </c>
      <c r="C10" s="10" t="inlineStr">
        <is>
          <t>Error Rate</t>
        </is>
      </c>
    </row>
    <row r="11">
      <c r="A11" s="4" t="inlineStr">
        <is>
          <t>Phone Number</t>
        </is>
      </c>
      <c r="B11" s="6">
        <f>COUNTIF(Audit!$E$2:$E$201,"MISMATCH")</f>
        <v/>
      </c>
      <c r="C11" s="7">
        <f>B11/$B$3</f>
        <v/>
      </c>
    </row>
    <row r="12">
      <c r="A12" s="4" t="inlineStr">
        <is>
          <t>Address</t>
        </is>
      </c>
      <c r="B12" s="6">
        <f>COUNTIF(Audit!$H$2:$H$201,"MISMATCH")</f>
        <v/>
      </c>
      <c r="C12" s="7">
        <f>B12/$B$3</f>
        <v/>
      </c>
    </row>
    <row r="13">
      <c r="A13" s="4" t="inlineStr">
        <is>
          <t>Specialty</t>
        </is>
      </c>
      <c r="B13" s="6">
        <f>COUNTIF(Audit!$K$2:$K$201,"MISMATCH")</f>
        <v/>
      </c>
      <c r="C13" s="7">
        <f>B13/$B$3</f>
        <v/>
      </c>
    </row>
    <row r="14">
      <c r="A14" s="4" t="inlineStr">
        <is>
          <t>Network Status</t>
        </is>
      </c>
      <c r="B14" s="6">
        <f>COUNTIF(Audit!$N$2:$N$201,"MISMATCH")</f>
        <v/>
      </c>
      <c r="C14" s="7">
        <f>B14/$B$3</f>
        <v/>
      </c>
    </row>
    <row r="15">
      <c r="A15" s="4" t="inlineStr">
        <is>
          <t>Patient Acceptance</t>
        </is>
      </c>
      <c r="B15" s="6">
        <f>COUNTIF(Audit!$Q$2:$Q$201,"MISMATCH")</f>
        <v/>
      </c>
      <c r="C15" s="7">
        <f>B15/$B$3</f>
        <v/>
      </c>
    </row>
    <row r="16">
      <c r="A16" s="3" t="inlineStr">
        <is>
          <t>Total</t>
        </is>
      </c>
      <c r="B16" s="11">
        <f>SUM(B11:B15)</f>
        <v/>
      </c>
    </row>
    <row r="18">
      <c r="A18" s="9" t="inlineStr">
        <is>
          <t>Compliance note: under the No Surprises Act, flagged records must be corrected within 2 business days of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2026-07-11T00:10:24Z</dcterms:created>
  <dcterms:modified xsi:type="dcterms:W3CDTF">2026-07-11T00:10:24Z</dcterms:modified>
</cp:coreProperties>
</file>